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epmw028\Documents\Documents\CEPM WORK ~ Ester\PROJECTS\2024\Okahandja Ext. 10\Consultancy\Design's\DESIGN  LATEST 2026\BOQ &amp; ESTIMATE\"/>
    </mc:Choice>
  </mc:AlternateContent>
  <xr:revisionPtr revIDLastSave="0" documentId="13_ncr:1_{EE70943D-F55D-4060-8D7C-CAC0C0226D6A}" xr6:coauthVersionLast="47" xr6:coauthVersionMax="47" xr10:uidLastSave="{00000000-0000-0000-0000-000000000000}"/>
  <bookViews>
    <workbookView xWindow="-120" yWindow="-120" windowWidth="29040" windowHeight="15720" xr2:uid="{00000000-000D-0000-FFFF-FFFF00000000}"/>
  </bookViews>
  <sheets>
    <sheet name="Schedule" sheetId="1" r:id="rId1"/>
    <sheet name="Summary Of Schedules" sheetId="2" r:id="rId2"/>
  </sheets>
  <definedNames>
    <definedName name="_xlnm.Print_Area" localSheetId="0">Schedule!$B$1:$H$770</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16" i="1" l="1"/>
  <c r="F202" i="1"/>
  <c r="F210" i="1" s="1"/>
  <c r="F200" i="1"/>
  <c r="F208" i="1" s="1"/>
  <c r="F524" i="1"/>
  <c r="F516" i="1"/>
  <c r="F510" i="1"/>
  <c r="F504" i="1"/>
  <c r="F496" i="1"/>
  <c r="F425" i="1"/>
  <c r="F423" i="1"/>
  <c r="F397" i="1"/>
  <c r="F395" i="1"/>
  <c r="F393" i="1"/>
  <c r="H181" i="1"/>
  <c r="H415" i="1"/>
  <c r="F532" i="1" l="1"/>
  <c r="H551" i="1"/>
  <c r="H663" i="1"/>
  <c r="H669" i="1"/>
  <c r="H667" i="1"/>
  <c r="H665" i="1"/>
  <c r="H661" i="1"/>
  <c r="H655" i="1"/>
  <c r="H651" i="1"/>
  <c r="H623" i="1"/>
  <c r="H617" i="1"/>
  <c r="H613" i="1"/>
  <c r="H611" i="1"/>
  <c r="H607" i="1"/>
  <c r="H580" i="1"/>
  <c r="H578" i="1"/>
  <c r="H576" i="1"/>
  <c r="H574" i="1"/>
  <c r="H570" i="1"/>
  <c r="H536" i="1"/>
  <c r="H532" i="1"/>
  <c r="H530" i="1"/>
  <c r="H528" i="1"/>
  <c r="H524" i="1"/>
  <c r="H522" i="1"/>
  <c r="H518" i="1"/>
  <c r="H516" i="1"/>
  <c r="H512" i="1"/>
  <c r="H510" i="1"/>
  <c r="H473" i="1"/>
  <c r="H471" i="1"/>
  <c r="H425" i="1"/>
  <c r="H423" i="1"/>
  <c r="H301" i="1"/>
  <c r="H299" i="1"/>
  <c r="H297" i="1"/>
  <c r="H295" i="1"/>
  <c r="H287" i="1"/>
  <c r="H285" i="1"/>
  <c r="H277" i="1"/>
  <c r="H275" i="1"/>
  <c r="H248" i="1" l="1"/>
  <c r="H246" i="1"/>
  <c r="H244" i="1"/>
  <c r="H242" i="1"/>
  <c r="H240" i="1"/>
  <c r="H238" i="1"/>
  <c r="H236" i="1"/>
  <c r="H234" i="1"/>
  <c r="H230" i="1"/>
  <c r="H228" i="1"/>
  <c r="H87" i="1"/>
  <c r="H81" i="1"/>
  <c r="H77" i="1"/>
  <c r="H56" i="1"/>
  <c r="H50" i="1"/>
  <c r="H48" i="1"/>
  <c r="H46" i="1"/>
  <c r="H44" i="1"/>
  <c r="H42" i="1"/>
  <c r="H8" i="1" l="1"/>
  <c r="H591" i="1" l="1"/>
  <c r="H555" i="1"/>
  <c r="H549" i="1"/>
  <c r="H649" i="1"/>
  <c r="H647" i="1"/>
  <c r="H643" i="1"/>
  <c r="H604" i="1"/>
  <c r="H600" i="1"/>
  <c r="H594" i="1"/>
  <c r="H589" i="1"/>
  <c r="H569" i="1"/>
  <c r="H567" i="1"/>
  <c r="H565" i="1"/>
  <c r="H563" i="1"/>
  <c r="H561" i="1"/>
  <c r="H553" i="1"/>
  <c r="H506" i="1"/>
  <c r="H504" i="1"/>
  <c r="H494" i="1"/>
  <c r="H496" i="1"/>
  <c r="H492" i="1"/>
  <c r="H488" i="1"/>
  <c r="H486" i="1"/>
  <c r="H484" i="1"/>
  <c r="H482" i="1"/>
  <c r="H454" i="1"/>
  <c r="H440" i="1"/>
  <c r="H438" i="1"/>
  <c r="H407" i="1"/>
  <c r="H405" i="1"/>
  <c r="H433" i="1" s="1"/>
  <c r="H315" i="1"/>
  <c r="H317" i="1"/>
  <c r="H273" i="1"/>
  <c r="H271" i="1"/>
  <c r="H265" i="1"/>
  <c r="H262" i="1"/>
  <c r="H260" i="1"/>
  <c r="H224" i="1"/>
  <c r="H222" i="1"/>
  <c r="H216" i="1"/>
  <c r="H214" i="1"/>
  <c r="H210" i="1"/>
  <c r="H208" i="1"/>
  <c r="H202" i="1"/>
  <c r="H200" i="1"/>
  <c r="H171" i="1"/>
  <c r="H169" i="1"/>
  <c r="H157" i="1"/>
  <c r="H147" i="1"/>
  <c r="H73" i="1"/>
  <c r="H38" i="1"/>
  <c r="H32" i="1"/>
  <c r="H28" i="1"/>
  <c r="H24" i="1"/>
  <c r="H22" i="1"/>
  <c r="H18" i="1"/>
  <c r="H14" i="1"/>
  <c r="H67" i="1" s="1"/>
  <c r="H583" i="1" l="1"/>
  <c r="H587" i="1" s="1"/>
  <c r="H635" i="1" s="1"/>
  <c r="H640" i="1" s="1"/>
  <c r="H193" i="1"/>
  <c r="H197" i="1" s="1"/>
  <c r="H253" i="1" s="1"/>
  <c r="H437" i="1"/>
  <c r="H71" i="1"/>
  <c r="H137" i="1" s="1"/>
  <c r="H476" i="1" l="1"/>
  <c r="H480" i="1" s="1"/>
  <c r="H541" i="1" s="1"/>
  <c r="H706" i="1" s="1"/>
  <c r="H697" i="1"/>
  <c r="H708" i="1" s="1"/>
  <c r="H257" i="1"/>
  <c r="H310" i="1" s="1"/>
  <c r="H702" i="1"/>
  <c r="H314" i="1" l="1"/>
  <c r="H379" i="1" l="1"/>
  <c r="H704" i="1" s="1"/>
  <c r="I454" i="1" s="1"/>
  <c r="J454" i="1" s="1"/>
  <c r="H710" i="1" l="1"/>
  <c r="H712" i="1" s="1"/>
  <c r="H713" i="1" s="1"/>
  <c r="H715" i="1" s="1"/>
</calcChain>
</file>

<file path=xl/sharedStrings.xml><?xml version="1.0" encoding="utf-8"?>
<sst xmlns="http://schemas.openxmlformats.org/spreadsheetml/2006/main" count="767" uniqueCount="457">
  <si>
    <t>PRELIMINARY AND GENERAL</t>
  </si>
  <si>
    <t>Item</t>
  </si>
  <si>
    <t>Section Refers</t>
  </si>
  <si>
    <t>Description</t>
  </si>
  <si>
    <t>Unit</t>
  </si>
  <si>
    <t>Quantity</t>
  </si>
  <si>
    <t>Rate</t>
  </si>
  <si>
    <t>Amount (N$)</t>
  </si>
  <si>
    <t>1</t>
  </si>
  <si>
    <t>"SANS_x000D_
1200 A"</t>
  </si>
  <si>
    <t xml:space="preserve">SECTION 1: PRELIMINARY AND GENERAL </t>
  </si>
  <si>
    <t>1.1</t>
  </si>
  <si>
    <t>8.3</t>
  </si>
  <si>
    <t>FIXED-CHARGE  ITEMS</t>
  </si>
  <si>
    <t>1.1.1</t>
  </si>
  <si>
    <t>8.3.1</t>
  </si>
  <si>
    <t>Contractual Requirements</t>
  </si>
  <si>
    <t>Sum</t>
  </si>
  <si>
    <t>8.3.2</t>
  </si>
  <si>
    <t>Establishment of facilities on the Site:</t>
  </si>
  <si>
    <t>8.3.2.1</t>
  </si>
  <si>
    <t>Facilities for the Engineer</t>
  </si>
  <si>
    <t>1.1.2</t>
  </si>
  <si>
    <t>Contract Name/Sign Board</t>
  </si>
  <si>
    <t>No.</t>
  </si>
  <si>
    <t>1.1.3</t>
  </si>
  <si>
    <t>8.3.2.2</t>
  </si>
  <si>
    <t>Facilities for the Contractor</t>
  </si>
  <si>
    <t>1.1.4</t>
  </si>
  <si>
    <t>Offices and Storage Sheds</t>
  </si>
  <si>
    <t>1.1.5</t>
  </si>
  <si>
    <t>Workshops</t>
  </si>
  <si>
    <t>1.1.6</t>
  </si>
  <si>
    <t>Ablution and latrine facilities</t>
  </si>
  <si>
    <t>1.1.7</t>
  </si>
  <si>
    <t>Water Supplies, electric power and communications</t>
  </si>
  <si>
    <t>1.1.8</t>
  </si>
  <si>
    <t>8.3.3</t>
  </si>
  <si>
    <t>Other fixed-charge obligations</t>
  </si>
  <si>
    <t>8.3.4</t>
  </si>
  <si>
    <t>Remove Contractor's Site establishment on completion</t>
  </si>
  <si>
    <t>1.2</t>
  </si>
  <si>
    <t>8.4</t>
  </si>
  <si>
    <t>TIME-RELATED ITEMS</t>
  </si>
  <si>
    <t>1.2.1</t>
  </si>
  <si>
    <t>8.4.1</t>
  </si>
  <si>
    <t>Contractual requirements</t>
  </si>
  <si>
    <t>8.4.2</t>
  </si>
  <si>
    <t>Operation and maintenance of Facilities on Site for the duration of Construction</t>
  </si>
  <si>
    <t>8.4.2.2</t>
  </si>
  <si>
    <t>Facilities for Contractor</t>
  </si>
  <si>
    <t>1.2.2</t>
  </si>
  <si>
    <t xml:space="preserve"> Total Carried Forward</t>
  </si>
  <si>
    <t xml:space="preserve"> Brought Forward</t>
  </si>
  <si>
    <t>1.2.3</t>
  </si>
  <si>
    <t>1.2.4</t>
  </si>
  <si>
    <t>1.2.5</t>
  </si>
  <si>
    <t>1.2.6</t>
  </si>
  <si>
    <t>8.4.5</t>
  </si>
  <si>
    <t>Other time-related charge obligations</t>
  </si>
  <si>
    <t>1.2.7</t>
  </si>
  <si>
    <t>Contractor's security on site, monthly reimbursement</t>
  </si>
  <si>
    <t>month</t>
  </si>
  <si>
    <t>1.2.8</t>
  </si>
  <si>
    <t>8.4.3</t>
  </si>
  <si>
    <t>Supervision for duration of Construction</t>
  </si>
  <si>
    <t>1.3</t>
  </si>
  <si>
    <t>8.5</t>
  </si>
  <si>
    <t>SUMS STATED PROVISIONALLY BY ENGINEER</t>
  </si>
  <si>
    <t>b) 1) For work done by the client or a non-nominated subcontractor</t>
  </si>
  <si>
    <t>1.3.1</t>
  </si>
  <si>
    <t>Allow PC Sum of N$ 10 000.00 for Additional tests ordered by the Engineer</t>
  </si>
  <si>
    <t>PC sum</t>
  </si>
  <si>
    <t>b) 2) Overheads, charges and profit on items 1.1.17 above</t>
  </si>
  <si>
    <t>1.3.2</t>
  </si>
  <si>
    <t>Additional tests ordered by the Engineer (item 1.1.17)</t>
  </si>
  <si>
    <t>%</t>
  </si>
  <si>
    <t>2</t>
  </si>
  <si>
    <t>1.4</t>
  </si>
  <si>
    <t>8.8</t>
  </si>
  <si>
    <t>TEMPORARY WORKS</t>
  </si>
  <si>
    <t>1.4.1</t>
  </si>
  <si>
    <t>Dealing and Accommodation of Traffic</t>
  </si>
  <si>
    <t>8.8.4</t>
  </si>
  <si>
    <t>Existing services</t>
  </si>
  <si>
    <t>1.4.2</t>
  </si>
  <si>
    <t>Temporary protection of services</t>
  </si>
  <si>
    <t>3</t>
  </si>
  <si>
    <t>4</t>
  </si>
  <si>
    <t>WATER RETICULATION</t>
  </si>
  <si>
    <t>SECTION 2: WATER RETICULATION</t>
  </si>
  <si>
    <t>2.1</t>
  </si>
  <si>
    <t>SANS 1200 DB</t>
  </si>
  <si>
    <t>EARTHWORKS</t>
  </si>
  <si>
    <t>8.2.1</t>
  </si>
  <si>
    <t xml:space="preserve">Clear and Grub </t>
  </si>
  <si>
    <t>2.1.1</t>
  </si>
  <si>
    <t>Clear and grub the area designated by the Engineer. The rate shall cover the cost of clearing the surface and removing boulders of size up to 0.15 m3</t>
  </si>
  <si>
    <t>ha</t>
  </si>
  <si>
    <t>8.2.2</t>
  </si>
  <si>
    <t>Remove  and grub large trees and tree stumps of girth</t>
  </si>
  <si>
    <t>2.1.3</t>
  </si>
  <si>
    <t xml:space="preserve">a) Over 1 m and up to and inluding 2 m </t>
  </si>
  <si>
    <t xml:space="preserve">No. </t>
  </si>
  <si>
    <t>2.1.4</t>
  </si>
  <si>
    <t xml:space="preserve">b) Over 2 m and up to and inluding 3 m </t>
  </si>
  <si>
    <t>2.1.5</t>
  </si>
  <si>
    <t xml:space="preserve">a) Over 3 m, in steps of 1 m </t>
  </si>
  <si>
    <t>2.1.6</t>
  </si>
  <si>
    <t xml:space="preserve">Allow provisional sum of N$ 100 000.00 for removing and grub large trees </t>
  </si>
  <si>
    <t>PS</t>
  </si>
  <si>
    <t>SANS _x000D_
1200 DB</t>
  </si>
  <si>
    <t>Excavation</t>
  </si>
  <si>
    <t>Excavate in all materials for trenches, backfill, compact and dispose of surplus material for uPVC pipes.  Price to include removal of all surplus material that can not be used as selected fill material and is to include expenses that may be incurred due to the removal for all of surface and/or sub-surface water in trenches by whatever way considered the most practicable by the contractor</t>
  </si>
  <si>
    <t>8.3.2(a)</t>
  </si>
  <si>
    <t xml:space="preserve">For normal trenches for pipes: 0-200 mm diam. for total trench depth: </t>
  </si>
  <si>
    <t>2.1.7</t>
  </si>
  <si>
    <t>Exceeding 0,5 m but not exceeding 1,3 m</t>
  </si>
  <si>
    <t>m</t>
  </si>
  <si>
    <t>(b) Extra over item (a) above for:</t>
  </si>
  <si>
    <t>2.1.8</t>
  </si>
  <si>
    <t>2.1.9</t>
  </si>
  <si>
    <t>2. Hard Rock Excavation</t>
  </si>
  <si>
    <t>(c ) Excavate and dipose of unsuitable material from trench bottom (provisional)</t>
  </si>
  <si>
    <t>m³</t>
  </si>
  <si>
    <t>2.1.11</t>
  </si>
  <si>
    <t>Excavation Ancillaries</t>
  </si>
  <si>
    <t>8.3.3.1</t>
  </si>
  <si>
    <t>Make up deficiancy in backfill material (provisional)</t>
  </si>
  <si>
    <t>8.3.3.1 (a)</t>
  </si>
  <si>
    <t>from other necessary excavations on site</t>
  </si>
  <si>
    <t>SANS 1200LB</t>
  </si>
  <si>
    <t>Bedding (Pipes)</t>
  </si>
  <si>
    <t>Provision of Bedding from trench excavations. The rate shall cover the cost of acquiring from within 0.5km bedding, of delivering it to points alongside the trench and of disposing off displaced  material within a freehaul distance of 0.5 km</t>
  </si>
  <si>
    <t>2.1.13</t>
  </si>
  <si>
    <t>a) Selected granular material for bedding.</t>
  </si>
  <si>
    <t>2.1.14</t>
  </si>
  <si>
    <t>b) Selected fill material.</t>
  </si>
  <si>
    <t>2.2</t>
  </si>
  <si>
    <t>SABS _x000D_
1200L</t>
  </si>
  <si>
    <t>PIPES AND SPECIALS FOR WATER RETICULATION</t>
  </si>
  <si>
    <t>8.2.2.2</t>
  </si>
  <si>
    <t xml:space="preserve">From Borrow pit </t>
  </si>
  <si>
    <t>2.1.15</t>
  </si>
  <si>
    <t>a) Selected granular material</t>
  </si>
  <si>
    <t>2.1.16</t>
  </si>
  <si>
    <t>b) Selected fill material</t>
  </si>
  <si>
    <t>Supply, Lay, Joint and Bed uPVC Class 12 Pipes Complete With Couplings. The rate shall cover the cost of provision of pipes complete with couplings, handling, inspecting, transporting, bedding, laying, jointing, cutting, testing and disinfection.</t>
  </si>
  <si>
    <t>2.2.1</t>
  </si>
  <si>
    <t>90 mm dia uPVC</t>
  </si>
  <si>
    <t>2.2.2</t>
  </si>
  <si>
    <t>110 mm dia uPVC</t>
  </si>
  <si>
    <t xml:space="preserve">Extra over item 2.5 for supply, joint and test pressure fittings socketed, including all joints and jointing materials and required adaptors </t>
  </si>
  <si>
    <t>Cast Iron Equal Tees</t>
  </si>
  <si>
    <t>2.2.3</t>
  </si>
  <si>
    <t>90 mm Ø SG Iron equal tee</t>
  </si>
  <si>
    <t>2.2.4</t>
  </si>
  <si>
    <t>110 mm Ø SG Iron equal tee</t>
  </si>
  <si>
    <t>Cast Iron Reducing Tee</t>
  </si>
  <si>
    <t>2.2.5</t>
  </si>
  <si>
    <t>110-90mm Ø Cast Iron Reducing Tee</t>
  </si>
  <si>
    <t>160-100mm Ø Cast Iron Reducing Tee</t>
  </si>
  <si>
    <t>uPVC Class 12 Pressure Bends</t>
  </si>
  <si>
    <t>2.2.6</t>
  </si>
  <si>
    <t>90 mm Ø x 11.25°</t>
  </si>
  <si>
    <t>2.2.7</t>
  </si>
  <si>
    <t>90 mm Ø x 22.5°</t>
  </si>
  <si>
    <t>2.2.8</t>
  </si>
  <si>
    <t>90 mm Ø x 45°</t>
  </si>
  <si>
    <t>90 mm Ø x 90°</t>
  </si>
  <si>
    <t>2.2.10</t>
  </si>
  <si>
    <t>110 mm Ø x 11.25°</t>
  </si>
  <si>
    <t>2.2.11</t>
  </si>
  <si>
    <t>110 mm Ø x 22.5°</t>
  </si>
  <si>
    <t>2.2.12</t>
  </si>
  <si>
    <t>110 mm Ø x 45°</t>
  </si>
  <si>
    <t>2.2.13</t>
  </si>
  <si>
    <t>110 mm Ø x 90°</t>
  </si>
  <si>
    <t>Cast Iron Hydrant tees</t>
  </si>
  <si>
    <t>2.2.14</t>
  </si>
  <si>
    <t>90/80 mm Ø</t>
  </si>
  <si>
    <t>2.2.15</t>
  </si>
  <si>
    <t>110/80 mm Ø</t>
  </si>
  <si>
    <t>Valves</t>
  </si>
  <si>
    <t>2.2.16</t>
  </si>
  <si>
    <t>Supply, fit and test right angle pattern instantaneous  coupling hydrant valve to be painted red (All) to SABS 1091-1975 including concrete pedestal and all jointing  material</t>
  </si>
  <si>
    <t>Supply, fit and test ductile iron, non-rising spindle, resilient seal gate valves, class 16, double socketed including all joints and jointing material. For pipe sizes:</t>
  </si>
  <si>
    <t>2.2.17</t>
  </si>
  <si>
    <t>90 mm dia</t>
  </si>
  <si>
    <t>2.2.18</t>
  </si>
  <si>
    <t>110 mm dia</t>
  </si>
  <si>
    <t>2.2.19</t>
  </si>
  <si>
    <t>Construct access to valves as detailed on drawings. The rate to include the supply and installation of  TYPE 3B DMC Valve  housing or similar approved</t>
  </si>
  <si>
    <t>2.2.20</t>
  </si>
  <si>
    <t>Form precast concrete gate valve markers (1:2:4 nom. Mix) as detailed in drawings</t>
  </si>
  <si>
    <t>SANS_x000D_
1200L</t>
  </si>
  <si>
    <t>Thrust Blocks</t>
  </si>
  <si>
    <t>8.2.11</t>
  </si>
  <si>
    <t>Concrete Mpa 20 including for:</t>
  </si>
  <si>
    <t>For thrust blocks (See drawings)</t>
  </si>
  <si>
    <t>2.2.21</t>
  </si>
  <si>
    <t>1: Bends &amp; Reducers</t>
  </si>
  <si>
    <t>2.2.22</t>
  </si>
  <si>
    <t>2: T - Junctions</t>
  </si>
  <si>
    <t>2.3</t>
  </si>
  <si>
    <t>SANS 1200 LF</t>
  </si>
  <si>
    <t>HOUSE CONNECTIONS</t>
  </si>
  <si>
    <t>Provide erf connections for water supply. The cost shall include the cost of providing pipes, laying the pipes, saddles, ferrules, stop taps, endcaps, excavating, connecting to water main, backfilling, testing and disinfection of pipes  (see DWG)</t>
  </si>
  <si>
    <t>Connection to Residential Erven</t>
  </si>
  <si>
    <t>2.3.1</t>
  </si>
  <si>
    <t>(a) Type 1: Single &amp; Near Side Connection</t>
  </si>
  <si>
    <t>2.3.2</t>
  </si>
  <si>
    <t>(b) Type 2: Double &amp; Near Side Connection</t>
  </si>
  <si>
    <t>2.3.3</t>
  </si>
  <si>
    <t>(c) Type 3: Single &amp; Far Side Connection</t>
  </si>
  <si>
    <t>2.3.4</t>
  </si>
  <si>
    <t>(d) Type 4: Double &amp; Far Side Connection</t>
  </si>
  <si>
    <t>2.3.5</t>
  </si>
  <si>
    <t>Provide Y Standard Dropper - House connection markers and 3mm galvanised wire. To be painted Blue as shown on drawings</t>
  </si>
  <si>
    <t>2.3.6</t>
  </si>
  <si>
    <t>SEWER RETICULATION</t>
  </si>
  <si>
    <t>SECTION 3. SEWER RETICULATION</t>
  </si>
  <si>
    <t>3.1</t>
  </si>
  <si>
    <t>SANS 1200DB</t>
  </si>
  <si>
    <t>EXCAVATION SEWERAGE RETICULATION</t>
  </si>
  <si>
    <t>Excavation for Sewerage Reticulation and House Connections</t>
  </si>
  <si>
    <t>Excavate in all material for trenches, backfill, compact and dispose of surplus material for. Rate to include removal of all surplus material that cannot be used as selected fill material and is to include all expenses that may be incurred due to the removal of surface and/or sub-surface water in trenches by whatever means considered the most practicable by the Contractor. Rate to include accomodation of traffic and access to properties.</t>
  </si>
  <si>
    <t>For normal trenches for 110mm, 160mm, 200mm and 250mm dia. pipeline</t>
  </si>
  <si>
    <t>3.1.1</t>
  </si>
  <si>
    <t>Exceeding 0.0 but not 1.0 m</t>
  </si>
  <si>
    <t>3.1.2</t>
  </si>
  <si>
    <t>1,0 to 2,0 m deep (Exceeding 1.0 but not 2.0 m )</t>
  </si>
  <si>
    <t>3.1.3</t>
  </si>
  <si>
    <t>2,0 to 3,0 m deep (Exceeding 2.0 but not 3.0 m)</t>
  </si>
  <si>
    <t>3.1.4</t>
  </si>
  <si>
    <t>3,0 to 4,0 m deep (Exceeding 3.0 but not 4.0 m)</t>
  </si>
  <si>
    <t>3.1.6</t>
  </si>
  <si>
    <t>Exceeding 4,0 m</t>
  </si>
  <si>
    <t xml:space="preserve">Extra over items 3.1.3 to 3.1.6 </t>
  </si>
  <si>
    <t>3.1.7</t>
  </si>
  <si>
    <t>(a) Intermediate excavation Exceeding 0.0 but not 1.0 m</t>
  </si>
  <si>
    <t>3.1.8</t>
  </si>
  <si>
    <t xml:space="preserve">(b) Hard rock excavation (Exceeding 1.0 but not 2.5m) </t>
  </si>
  <si>
    <t>3.2</t>
  </si>
  <si>
    <t xml:space="preserve">EXCAVATION ANCILLARIES </t>
  </si>
  <si>
    <t>3.2.1</t>
  </si>
  <si>
    <t>8.3.3.1(a</t>
  </si>
  <si>
    <t>3.2.2</t>
  </si>
  <si>
    <t>8.3.3.1(b</t>
  </si>
  <si>
    <t>by importation from designated borrow pits</t>
  </si>
  <si>
    <t>3.2.3</t>
  </si>
  <si>
    <t>8.3.3.1(c</t>
  </si>
  <si>
    <t>by importation from commercial or off-site sources selected by the Contractor</t>
  </si>
  <si>
    <t>3.2.4</t>
  </si>
  <si>
    <t>8.3.3.2</t>
  </si>
  <si>
    <t xml:space="preserve">Open up and close down borrow pit </t>
  </si>
  <si>
    <t>SANS _x000D_
1200 LB</t>
  </si>
  <si>
    <t>Provision of Bedding from trench excavation within 0.5km</t>
  </si>
  <si>
    <t>3.2.5</t>
  </si>
  <si>
    <t>Selected granular material for bedding.</t>
  </si>
  <si>
    <t>3.2.6</t>
  </si>
  <si>
    <t>Selected fill material.</t>
  </si>
  <si>
    <t>Supply only of bedding by importation from</t>
  </si>
  <si>
    <t>8.2.2.1</t>
  </si>
  <si>
    <t>a) Other necessary excavations within 0.5 km (Provisional)</t>
  </si>
  <si>
    <t>3.2.7</t>
  </si>
  <si>
    <t>1) Selected granular material</t>
  </si>
  <si>
    <t>3.2.8</t>
  </si>
  <si>
    <t>2) Selected fill blanket</t>
  </si>
  <si>
    <t>b) Borrow pits (Provisional)</t>
  </si>
  <si>
    <t>3.2.9</t>
  </si>
  <si>
    <t>3.2.10</t>
  </si>
  <si>
    <t>2) Selected fill material</t>
  </si>
  <si>
    <t>3.3</t>
  </si>
  <si>
    <t>SANS _x000D_
1200 LD</t>
  </si>
  <si>
    <t>PIPES AND SPECIALS FOR SEWERAGE RETICULATION</t>
  </si>
  <si>
    <t>Supply, lay, joint, bed, connect into manholes and test heavy duty, solid wall uPVC Class 34 sewer pipes with coupling material. The rate shall cover the cost of handling, placing and compacting the bedding materials up to the underside of the main fill.</t>
  </si>
  <si>
    <t>3.3.1</t>
  </si>
  <si>
    <t xml:space="preserve">200 mm dia pipes </t>
  </si>
  <si>
    <t>3.3.2</t>
  </si>
  <si>
    <t>160 mm dia pipes</t>
  </si>
  <si>
    <t>3.3.3</t>
  </si>
  <si>
    <t xml:space="preserve">110 mm dia pipes </t>
  </si>
  <si>
    <t>"Extra-Over Item 8.2.1 for SpecialsThe rate shall cover the cost of supplying, laying, bedding, jointing and testing each special"</t>
  </si>
  <si>
    <t>3.3.4</t>
  </si>
  <si>
    <t>Plain concrete quality 1:3:6  25 mm stone, in screeds, hunching and encasing to main sewers where ordered by the Engineer.  Price to include for all extra excavation and shuttering required.</t>
  </si>
  <si>
    <t>3.4</t>
  </si>
  <si>
    <t>MANHOLES FOR SEWERAGE RETICULATION</t>
  </si>
  <si>
    <t>Construct 1.2m dia concrete manholes to main sewers. Complete but excluding covers and frames. On completion the manholes shall be watertight and any leaks shall be made good at the contractor's expense. The rate shall cover the cost of dealing with any excavation (in all materials including disposal of suplus) that is additional to that measured under the item for pipe trench excavation and the cost of construction of manholes and all flexible couplings in accordance with the details shown on the drawings.</t>
  </si>
  <si>
    <t>Depths indicated below are measured from top of cover to invert of manholes</t>
  </si>
  <si>
    <t>3.4.1</t>
  </si>
  <si>
    <t>a) Below 0.5 m deep</t>
  </si>
  <si>
    <t>3.4.2</t>
  </si>
  <si>
    <t>b)   0.5 - 1.0 m deep</t>
  </si>
  <si>
    <t>3.4.3</t>
  </si>
  <si>
    <t>c)   1.0 - 1.5 m deep</t>
  </si>
  <si>
    <t>3.4.4</t>
  </si>
  <si>
    <t>d)   1.5 - 2.0 m deep</t>
  </si>
  <si>
    <t>3.4.5</t>
  </si>
  <si>
    <t>e)   2.0 - 2.5 m deep</t>
  </si>
  <si>
    <t>3.4.6</t>
  </si>
  <si>
    <t>f)   2.5 - 3.0 m deep</t>
  </si>
  <si>
    <t>3.4.7</t>
  </si>
  <si>
    <t>g)   3.0 - 3.5 m deep</t>
  </si>
  <si>
    <t>3.4.8</t>
  </si>
  <si>
    <t>h)  Exceeding 3.5 m deep</t>
  </si>
  <si>
    <t>Supply and fix cast iron manhole covers and frames</t>
  </si>
  <si>
    <t>3.4.9</t>
  </si>
  <si>
    <t>SecuREX 2-600D Class D-400</t>
  </si>
  <si>
    <t>3.4.10</t>
  </si>
  <si>
    <t>SecuREX Y-560-C Class C250</t>
  </si>
  <si>
    <t>3.4.11</t>
  </si>
  <si>
    <t>Type 2A DMC Poly manhole covers and frames</t>
  </si>
  <si>
    <t>3.5</t>
  </si>
  <si>
    <t>8.2.6</t>
  </si>
  <si>
    <t xml:space="preserve">CONNECTIONS TO MAIN SEWER </t>
  </si>
  <si>
    <t>Construct standard length of connection for sewers, including excavation, supply, fixing and testing of pipes 110 mm dia and all required fittings with junction on main line and plug stoppers at the end of connection pipes as indicated on drawings.</t>
  </si>
  <si>
    <t xml:space="preserve">Type 1 connection </t>
  </si>
  <si>
    <t>3.5.1</t>
  </si>
  <si>
    <t>a) Near side (0-5m long)</t>
  </si>
  <si>
    <t>3.5.2</t>
  </si>
  <si>
    <t>b) Far side (5-40m long)</t>
  </si>
  <si>
    <t xml:space="preserve">Type 2 connection </t>
  </si>
  <si>
    <t>3.5.3</t>
  </si>
  <si>
    <t>3.5.4</t>
  </si>
  <si>
    <t>3.5.6</t>
  </si>
  <si>
    <t>Type 4 connection</t>
  </si>
  <si>
    <t>3.5.7</t>
  </si>
  <si>
    <t>3.5.8</t>
  </si>
  <si>
    <t>Type 5 connection</t>
  </si>
  <si>
    <t>3.5.9</t>
  </si>
  <si>
    <t>3.5.10</t>
  </si>
  <si>
    <t xml:space="preserve">Supply and install Y-Standard house connection markers including 3mm galvanised wire to  be painted green, as indicated on drawings. </t>
  </si>
  <si>
    <t>3.6</t>
  </si>
  <si>
    <t>CONNECT TO EXISTING SEWER AT:</t>
  </si>
  <si>
    <t>3.6.1</t>
  </si>
  <si>
    <t>Break in to existing manhole and make good</t>
  </si>
  <si>
    <t>LIFT STATION</t>
  </si>
  <si>
    <t>SECTION 4: LIFT STATION</t>
  </si>
  <si>
    <t>4.1</t>
  </si>
  <si>
    <t>LIFT STATION PUMPS</t>
  </si>
  <si>
    <t>4.1.1</t>
  </si>
  <si>
    <t>Supply, install and commission LOWARA DOMO 7VX 0.55kW 220 PUMPS or similar approved. The rate shall also include training of technical team on operation and maintenance</t>
  </si>
  <si>
    <t>4.1.2</t>
  </si>
  <si>
    <t>4.1.3</t>
  </si>
  <si>
    <t>Supply and install  8m DELIVERY PIPE - stainless steel, DN 100.The rate shall also include all bends, pumps supports, pipe bracket supports and all required accessories</t>
  </si>
  <si>
    <t>4.1.4</t>
  </si>
  <si>
    <t>PRELIMINERY &amp; GENERAL: fixed and time related charges (Mechanical/Pump Specialist)</t>
  </si>
  <si>
    <t xml:space="preserve">LOW VOLTAGE </t>
  </si>
  <si>
    <t>LOW VOLTAGE UNDERGROUND CABLE: PVC/SWA/PVC Cu ARMOURED CABLE</t>
  </si>
  <si>
    <t>4.1.2.1</t>
  </si>
  <si>
    <t>35mm2 PVC/SWA/PVC Cu 4C</t>
  </si>
  <si>
    <t>4.1.2.2</t>
  </si>
  <si>
    <t>25mm2 BCEW</t>
  </si>
  <si>
    <t>4.1.2.3</t>
  </si>
  <si>
    <t>Cable terminations for 35mm2 cable, including mechanical clamps, lugs and corrosion proof bolts, washers and nuts, glands e.t.c</t>
  </si>
  <si>
    <t>4.1.2.4</t>
  </si>
  <si>
    <t>Cable Trenche (Excavation, Bedding, Laying, and Backfilling). Excavation  in intermediate soil, 0.45 m wide x 0.6 m deep cable trench; backfilling (after bedding) of trench with a proper grading of the material to ensure settling without voids; compaction to 98% Mod AASHTO density in layers not exceeding 150mm thick.</t>
  </si>
  <si>
    <t>4.1.2.5</t>
  </si>
  <si>
    <t>Black cable Sleeves for road crossing: 110mm DIA, PVC class 6 in 6m lengths</t>
  </si>
  <si>
    <t>4.1.2.6</t>
  </si>
  <si>
    <t>Warning Tape: Bright yellow warning tape with red or black markings clearly indicating danger, 300mm above electrical cables/sleeves.</t>
  </si>
  <si>
    <t>PUMP ELECTRICAL INSTALLATIONS</t>
  </si>
  <si>
    <t>4.1.2.7</t>
  </si>
  <si>
    <t>Metal IP55 Weatherproof Enclosure (800x600x350), Lockable Doors</t>
  </si>
  <si>
    <t>4.1.2.8</t>
  </si>
  <si>
    <t>Plinth for mounting of enslosure for control box</t>
  </si>
  <si>
    <t>4.1.2.9</t>
  </si>
  <si>
    <t>Earthing of enclosure (Earthing spike and earth wire)</t>
  </si>
  <si>
    <t>4.1.2.10</t>
  </si>
  <si>
    <t>Lock-out Padlock (Weather resistant)</t>
  </si>
  <si>
    <t>4.1.2.11</t>
  </si>
  <si>
    <t>Breaker 20A JSO</t>
  </si>
  <si>
    <t>4.1.2.12</t>
  </si>
  <si>
    <t>Single Phase kW Meter</t>
  </si>
  <si>
    <t>4.1.2.13</t>
  </si>
  <si>
    <t>4mm2 cable</t>
  </si>
  <si>
    <t>SUMP</t>
  </si>
  <si>
    <t>110mm SEWER NON RETURN WALVES</t>
  </si>
  <si>
    <t>4.1.3.1</t>
  </si>
  <si>
    <t>Supply and Install 110mm sewer non return valves as shown in drawings</t>
  </si>
  <si>
    <t>RAG CATHCER BASKET</t>
  </si>
  <si>
    <t>4.1.3.2</t>
  </si>
  <si>
    <t>Fabricate and install a rag cather basket, platform and guide rail mechanism. The rate shall include all components as shown on drawing 2023-03-401C</t>
  </si>
  <si>
    <t>LIFTING DAVIT</t>
  </si>
  <si>
    <t>4.1.3.4</t>
  </si>
  <si>
    <t>Fabricate and install liftind davit mechanism as shown on drawings. The rate shall include all componects including the hoisting chains</t>
  </si>
  <si>
    <t>SUMP MANHOLE COVER</t>
  </si>
  <si>
    <t>4.1.3.5</t>
  </si>
  <si>
    <t>supply and istall 1800x1800 cheque plate cover. The rate shall include the cost bracings, the covers for the 2 by 600x900 openings, hinges, handles and locking mechanism</t>
  </si>
  <si>
    <t>6 x 600 x 600mm lockable steel plate with handles and hinges</t>
  </si>
  <si>
    <t>ADDITIONAL WORK ON SUMP</t>
  </si>
  <si>
    <t>4.1.3.6</t>
  </si>
  <si>
    <t>Extra works on MH-O1. The rate shall include the cost of excavation for sump depth, reinfocemnt for base, constructing the walls and application of bitumen coating to inner walls on sump</t>
  </si>
  <si>
    <t>RISING MAIN</t>
  </si>
  <si>
    <t>1200 C</t>
  </si>
  <si>
    <t>Site Clearance</t>
  </si>
  <si>
    <t>4.1.4.1</t>
  </si>
  <si>
    <t>Clear and strip over the 3 m wide strip of all vegetation, and other obstacles</t>
  </si>
  <si>
    <t>1200 DB</t>
  </si>
  <si>
    <t>Excavations</t>
  </si>
  <si>
    <t>8.1.2</t>
  </si>
  <si>
    <t>4.1.4.2</t>
  </si>
  <si>
    <t>For total trench depth: Exceeding 1.0m but not 1.5m</t>
  </si>
  <si>
    <t>1200LB</t>
  </si>
  <si>
    <t>Bedding (pipes)</t>
  </si>
  <si>
    <t>4.1.4.3</t>
  </si>
  <si>
    <t>4.1.4.4</t>
  </si>
  <si>
    <t>Supply &amp; fill  selected backfill material</t>
  </si>
  <si>
    <t>4.1.4.5</t>
  </si>
  <si>
    <t>Supply &amp; fill main fill</t>
  </si>
  <si>
    <t>1200L</t>
  </si>
  <si>
    <t>Anchor/Thrust Blocks and Pedestals</t>
  </si>
  <si>
    <t>4.1.4.6</t>
  </si>
  <si>
    <t xml:space="preserve"> 1200L</t>
  </si>
  <si>
    <t>Pipes and Specials for Rising Main</t>
  </si>
  <si>
    <t>4.1.4.7</t>
  </si>
  <si>
    <t>110mm dia</t>
  </si>
  <si>
    <t>4.1.4.8</t>
  </si>
  <si>
    <t>4.1.4.9</t>
  </si>
  <si>
    <t>Form precast concrete pipe markers (1:2:4 nom. Mix) as detailed in drawings</t>
  </si>
  <si>
    <t>4.1.4.10</t>
  </si>
  <si>
    <t>Construct access to valves as detailed on drawings.</t>
  </si>
  <si>
    <t>SUMMARY OF SECTIONS</t>
  </si>
  <si>
    <t xml:space="preserve"> </t>
  </si>
  <si>
    <t>Section</t>
  </si>
  <si>
    <t xml:space="preserve">   SUBTOTAL</t>
  </si>
  <si>
    <t>Add 10% CONTINGENCY</t>
  </si>
  <si>
    <t>Add 15% VAT</t>
  </si>
  <si>
    <t xml:space="preserve"> Total Carried Forward To Summary Of Schedules</t>
  </si>
  <si>
    <t>36</t>
  </si>
  <si>
    <t>8.8.5</t>
  </si>
  <si>
    <t>Cost of Survey in Terms of the Land Survey Act</t>
  </si>
  <si>
    <t>a) Trigonometrical survey and plot boundary pegs - locate and record</t>
  </si>
  <si>
    <t>b) Trigonometrical survey and plot boundary pegs - protect and re-establish. Allow provisional sum of N$ 250 000.00</t>
  </si>
  <si>
    <t>1.5</t>
  </si>
  <si>
    <t>1.5.1</t>
  </si>
  <si>
    <t>1.5.2</t>
  </si>
  <si>
    <t>2.1.2</t>
  </si>
  <si>
    <t>CONSTRUCTION OF SERVICES IN OKAHANDJA EXTENSION 10, OTJOZONDJUPA REGION:</t>
  </si>
  <si>
    <t xml:space="preserve">WATER, SEWER , LIFT STATION AND GRAVEL ROADS </t>
  </si>
  <si>
    <t>2.1.10</t>
  </si>
  <si>
    <t xml:space="preserve">Concrete MPa 20, for encasing the Pipes </t>
  </si>
  <si>
    <t>Control Board  for 2 pumps 0.55kW, 230V. Including a main incoming supply switch,  floats, motor protection breaker with overload &amp; short-circuit protection etc. Lowara QDRM2 Series single-phase panel or similar approved by the Engineer.</t>
  </si>
  <si>
    <t>Excavate in all materials for trenches, backfill selected material, compact and dispose of surplus material for 110mm uPVC pressure pipe.</t>
  </si>
  <si>
    <t>Supply &amp; fill  selected granular material bedding  around and on top of pipes from other trench excavations.</t>
  </si>
  <si>
    <t>Supply, lay, joint, bed, compact selected granular material and test uPVC pressure pipe "Class 12" in trenches, including all joints and jointing materials.</t>
  </si>
  <si>
    <t>Concrete Mpa 20 including required shuttering for thrust blocks.</t>
  </si>
  <si>
    <t>3059.8</t>
  </si>
  <si>
    <t>Rate only</t>
  </si>
  <si>
    <t xml:space="preserve">Rate Only </t>
  </si>
  <si>
    <t>2.1.12</t>
  </si>
  <si>
    <t>8.3.3.1(b)</t>
  </si>
  <si>
    <t>Allow Provisional Sum of N$ 70 000 for fittings and stainless steel pipes</t>
  </si>
  <si>
    <t xml:space="preserve">1. Intermediate Excavation </t>
  </si>
  <si>
    <r>
      <t>Allow Provisional Sum of N$</t>
    </r>
    <r>
      <rPr>
        <sz val="9"/>
        <color rgb="FFFF0000"/>
        <rFont val="Arial"/>
        <family val="2"/>
      </rPr>
      <t>5000.</t>
    </r>
    <r>
      <rPr>
        <sz val="9"/>
        <rFont val="Arial"/>
        <family val="2"/>
      </rPr>
      <t>00 for additional fittings</t>
    </r>
  </si>
  <si>
    <t>CONSTRUCTION OF WATER AND SEWER RETICULATION FOR OKAHANDJA EXTENSION 10,  OKAHANDJA, OTJOZONDJUPA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</si>
</sst>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1"/>
      <name val="Calibri"/>
      <family val="2"/>
      <scheme val="minor"/>
    </font>
    <font>
      <sz val="10"/>
      <name val="Calibri"/>
      <family val="2"/>
      <scheme val="minor"/>
    </font>
    <font>
      <sz val="9"/>
      <name val="Calibri"/>
      <family val="2"/>
      <scheme val="minor"/>
    </font>
    <font>
      <sz val="9"/>
      <name val="Arial"/>
      <family val="2"/>
    </font>
    <font>
      <b/>
      <sz val="10"/>
      <name val="Arial"/>
      <family val="2"/>
    </font>
    <font>
      <sz val="8"/>
      <name val="Calibri"/>
      <family val="2"/>
      <scheme val="minor"/>
    </font>
    <font>
      <sz val="9"/>
      <color rgb="FFFF0000"/>
      <name val="Arial"/>
      <family val="2"/>
    </font>
  </fonts>
  <fills count="3">
    <fill>
      <patternFill patternType="none"/>
    </fill>
    <fill>
      <patternFill patternType="gray125"/>
    </fill>
    <fill>
      <patternFill patternType="solid">
        <fgColor rgb="FFD9D9D9"/>
      </patternFill>
    </fill>
  </fills>
  <borders count="7">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75">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wrapText="1"/>
    </xf>
    <xf numFmtId="0" fontId="0" fillId="0" borderId="0" xfId="0" applyAlignment="1">
      <alignment vertical="top"/>
    </xf>
    <xf numFmtId="0" fontId="4" fillId="0" borderId="0" xfId="0" applyFont="1" applyAlignment="1">
      <alignment horizontal="left" vertical="top"/>
    </xf>
    <xf numFmtId="0" fontId="3" fillId="0" borderId="1" xfId="0" applyFont="1" applyBorder="1" applyAlignment="1">
      <alignment horizontal="center" vertical="top" wrapText="1"/>
    </xf>
    <xf numFmtId="49" fontId="3" fillId="0" borderId="3" xfId="0" applyNumberFormat="1" applyFont="1" applyBorder="1" applyAlignment="1">
      <alignment horizontal="left" vertical="top" wrapText="1"/>
    </xf>
    <xf numFmtId="0" fontId="3" fillId="0" borderId="4" xfId="0" applyFont="1" applyBorder="1" applyAlignment="1">
      <alignment horizontal="left" vertical="top" wrapText="1"/>
    </xf>
    <xf numFmtId="49" fontId="3" fillId="0" borderId="4" xfId="0" applyNumberFormat="1" applyFont="1" applyBorder="1" applyAlignment="1">
      <alignment horizontal="left" vertical="top" wrapText="1"/>
    </xf>
    <xf numFmtId="0" fontId="3" fillId="0" borderId="4" xfId="0" applyFont="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0" borderId="3" xfId="0" applyFont="1" applyBorder="1" applyAlignment="1">
      <alignment vertical="top" wrapText="1"/>
    </xf>
    <xf numFmtId="49" fontId="3" fillId="0" borderId="4" xfId="0" applyNumberFormat="1" applyFont="1" applyBorder="1" applyAlignment="1">
      <alignment horizontal="center" vertical="top" wrapText="1"/>
    </xf>
    <xf numFmtId="4" fontId="3" fillId="0" borderId="4" xfId="0" applyNumberFormat="1" applyFont="1" applyBorder="1" applyAlignment="1">
      <alignment horizontal="right" vertical="top" wrapText="1"/>
    </xf>
    <xf numFmtId="0" fontId="3" fillId="0" borderId="1" xfId="0" applyFont="1" applyBorder="1" applyAlignment="1">
      <alignment horizontal="left" vertical="center"/>
    </xf>
    <xf numFmtId="0" fontId="3" fillId="0" borderId="5" xfId="0" applyFont="1" applyBorder="1" applyAlignment="1">
      <alignment vertical="center" wrapText="1"/>
    </xf>
    <xf numFmtId="4" fontId="3" fillId="0" borderId="2" xfId="0" applyNumberFormat="1" applyFont="1" applyBorder="1" applyAlignment="1">
      <alignment horizontal="right" vertical="center" wrapText="1"/>
    </xf>
    <xf numFmtId="0" fontId="3" fillId="0" borderId="0" xfId="0" applyFont="1" applyAlignment="1">
      <alignment horizontal="center" vertical="top"/>
    </xf>
    <xf numFmtId="0" fontId="3" fillId="0" borderId="0" xfId="0" applyFont="1" applyAlignment="1">
      <alignment horizontal="center" vertical="top" wrapText="1"/>
    </xf>
    <xf numFmtId="49" fontId="3" fillId="0" borderId="0" xfId="0" applyNumberFormat="1" applyFont="1" applyAlignment="1">
      <alignment horizontal="center" vertical="top" wrapText="1"/>
    </xf>
    <xf numFmtId="49" fontId="3" fillId="0" borderId="0" xfId="0" applyNumberFormat="1" applyFont="1" applyAlignment="1">
      <alignment horizontal="left" vertical="top" wrapText="1"/>
    </xf>
    <xf numFmtId="4" fontId="3" fillId="0" borderId="0" xfId="0" applyNumberFormat="1" applyFont="1" applyAlignment="1">
      <alignment horizontal="right" vertical="top" wrapText="1"/>
    </xf>
    <xf numFmtId="0" fontId="3" fillId="2" borderId="0" xfId="0" applyFont="1" applyFill="1" applyAlignment="1">
      <alignment vertical="top" wrapText="1"/>
    </xf>
    <xf numFmtId="4" fontId="3" fillId="0" borderId="6" xfId="0" applyNumberFormat="1" applyFont="1" applyBorder="1" applyAlignment="1">
      <alignment horizontal="right" vertical="top" wrapText="1"/>
    </xf>
    <xf numFmtId="0" fontId="3" fillId="0" borderId="0" xfId="0" applyFont="1" applyAlignment="1">
      <alignment horizontal="left" vertical="center"/>
    </xf>
    <xf numFmtId="49" fontId="3" fillId="0" borderId="0" xfId="0" applyNumberFormat="1" applyFont="1" applyAlignment="1">
      <alignment horizontal="left" vertical="center" wrapText="1"/>
    </xf>
    <xf numFmtId="4" fontId="3" fillId="0" borderId="5" xfId="0" applyNumberFormat="1" applyFont="1" applyBorder="1" applyAlignment="1">
      <alignment horizontal="right" vertical="center" wrapText="1"/>
    </xf>
    <xf numFmtId="2" fontId="1" fillId="0" borderId="0" xfId="0" applyNumberFormat="1" applyFont="1" applyAlignment="1">
      <alignment vertical="top"/>
    </xf>
    <xf numFmtId="2" fontId="2" fillId="0" borderId="0" xfId="0" applyNumberFormat="1" applyFont="1" applyAlignment="1">
      <alignment vertical="top"/>
    </xf>
    <xf numFmtId="2" fontId="3" fillId="0" borderId="0" xfId="0" applyNumberFormat="1" applyFont="1" applyAlignment="1">
      <alignment vertical="top" wrapText="1"/>
    </xf>
    <xf numFmtId="2" fontId="3" fillId="0" borderId="0" xfId="0" applyNumberFormat="1" applyFont="1" applyAlignment="1">
      <alignment vertical="center" wrapText="1"/>
    </xf>
    <xf numFmtId="2" fontId="0" fillId="0" borderId="0" xfId="0" applyNumberFormat="1" applyAlignment="1">
      <alignment vertical="top"/>
    </xf>
    <xf numFmtId="4" fontId="1" fillId="0" borderId="0" xfId="0" applyNumberFormat="1" applyFont="1" applyAlignment="1">
      <alignment vertical="top"/>
    </xf>
    <xf numFmtId="4" fontId="3" fillId="0" borderId="0" xfId="0" applyNumberFormat="1" applyFont="1" applyAlignment="1">
      <alignment horizontal="right" vertical="top"/>
    </xf>
    <xf numFmtId="4" fontId="3" fillId="0" borderId="2" xfId="0" applyNumberFormat="1" applyFont="1" applyBorder="1" applyAlignment="1">
      <alignment horizontal="center" vertical="top" wrapText="1"/>
    </xf>
    <xf numFmtId="4" fontId="3" fillId="0" borderId="4" xfId="0" applyNumberFormat="1" applyFont="1" applyBorder="1" applyAlignment="1">
      <alignment vertical="top" wrapText="1"/>
    </xf>
    <xf numFmtId="4" fontId="3" fillId="2" borderId="4" xfId="0" applyNumberFormat="1" applyFont="1" applyFill="1" applyBorder="1" applyAlignment="1">
      <alignment vertical="top" wrapText="1"/>
    </xf>
    <xf numFmtId="4" fontId="2" fillId="0" borderId="0" xfId="0" applyNumberFormat="1" applyFont="1" applyAlignment="1">
      <alignment vertical="top"/>
    </xf>
    <xf numFmtId="4" fontId="3" fillId="0" borderId="0" xfId="0" applyNumberFormat="1" applyFont="1" applyAlignment="1">
      <alignment horizontal="center" vertical="top" wrapText="1"/>
    </xf>
    <xf numFmtId="4" fontId="3" fillId="2" borderId="0" xfId="0" applyNumberFormat="1" applyFont="1" applyFill="1" applyAlignment="1">
      <alignment vertical="top" wrapText="1"/>
    </xf>
    <xf numFmtId="4" fontId="3" fillId="0" borderId="0" xfId="0" applyNumberFormat="1" applyFont="1" applyAlignment="1">
      <alignment vertical="top" wrapText="1"/>
    </xf>
    <xf numFmtId="4" fontId="0" fillId="0" borderId="0" xfId="0" applyNumberFormat="1" applyAlignment="1">
      <alignment vertical="top"/>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4" fontId="1" fillId="0" borderId="0" xfId="0" applyNumberFormat="1" applyFont="1" applyAlignment="1">
      <alignment horizontal="right" vertical="top"/>
    </xf>
    <xf numFmtId="4" fontId="2" fillId="0" borderId="0" xfId="0" applyNumberFormat="1" applyFont="1" applyAlignment="1">
      <alignment horizontal="right" vertical="top"/>
    </xf>
    <xf numFmtId="4" fontId="3" fillId="0" borderId="1" xfId="0" applyNumberFormat="1" applyFont="1" applyBorder="1" applyAlignment="1">
      <alignment horizontal="right" vertical="top" wrapText="1"/>
    </xf>
    <xf numFmtId="4" fontId="3" fillId="2" borderId="4" xfId="0" applyNumberFormat="1" applyFont="1" applyFill="1" applyBorder="1" applyAlignment="1">
      <alignment horizontal="right" vertical="top" wrapText="1"/>
    </xf>
    <xf numFmtId="4" fontId="3" fillId="2" borderId="0" xfId="0" applyNumberFormat="1" applyFont="1" applyFill="1" applyAlignment="1">
      <alignment horizontal="right" vertical="top" wrapText="1"/>
    </xf>
    <xf numFmtId="4" fontId="3" fillId="0" borderId="0" xfId="0" applyNumberFormat="1" applyFont="1" applyAlignment="1">
      <alignment horizontal="right" vertical="center" wrapText="1"/>
    </xf>
    <xf numFmtId="4" fontId="0" fillId="0" borderId="0" xfId="0" applyNumberFormat="1" applyAlignment="1">
      <alignment horizontal="right" vertical="top"/>
    </xf>
    <xf numFmtId="164" fontId="3" fillId="0" borderId="4" xfId="0" applyNumberFormat="1" applyFont="1" applyBorder="1" applyAlignment="1">
      <alignment horizontal="right" vertical="top" wrapText="1"/>
    </xf>
    <xf numFmtId="164" fontId="3" fillId="2" borderId="4" xfId="0" applyNumberFormat="1" applyFont="1" applyFill="1" applyBorder="1" applyAlignment="1">
      <alignment vertical="top" wrapText="1"/>
    </xf>
    <xf numFmtId="4" fontId="1" fillId="0" borderId="0" xfId="0" applyNumberFormat="1" applyFont="1" applyAlignment="1">
      <alignment horizontal="center" vertical="top"/>
    </xf>
    <xf numFmtId="4" fontId="2" fillId="0" borderId="0" xfId="0" applyNumberFormat="1" applyFont="1" applyAlignment="1">
      <alignment horizontal="center" vertical="top"/>
    </xf>
    <xf numFmtId="4" fontId="3" fillId="0" borderId="1" xfId="0" applyNumberFormat="1" applyFont="1" applyBorder="1" applyAlignment="1">
      <alignment horizontal="center" vertical="top" wrapText="1"/>
    </xf>
    <xf numFmtId="4" fontId="3" fillId="0" borderId="4" xfId="0" applyNumberFormat="1" applyFont="1" applyBorder="1" applyAlignment="1">
      <alignment horizontal="center" vertical="top" wrapText="1"/>
    </xf>
    <xf numFmtId="4" fontId="3" fillId="2" borderId="4" xfId="0" applyNumberFormat="1" applyFont="1" applyFill="1" applyBorder="1" applyAlignment="1">
      <alignment horizontal="center" vertical="top" wrapText="1"/>
    </xf>
    <xf numFmtId="4" fontId="3" fillId="0" borderId="5" xfId="0" applyNumberFormat="1" applyFont="1" applyBorder="1" applyAlignment="1">
      <alignment horizontal="center" vertical="center" wrapText="1"/>
    </xf>
    <xf numFmtId="4" fontId="3" fillId="2" borderId="0" xfId="0" applyNumberFormat="1" applyFont="1" applyFill="1" applyAlignment="1">
      <alignment horizontal="center" vertical="top" wrapText="1"/>
    </xf>
    <xf numFmtId="4" fontId="3" fillId="0" borderId="0" xfId="0" applyNumberFormat="1" applyFont="1" applyAlignment="1">
      <alignment horizontal="center" vertical="center" wrapText="1"/>
    </xf>
    <xf numFmtId="4" fontId="0" fillId="0" borderId="0" xfId="0" applyNumberFormat="1" applyAlignment="1">
      <alignment horizontal="center" vertical="top"/>
    </xf>
    <xf numFmtId="2" fontId="3" fillId="0" borderId="4" xfId="0" applyNumberFormat="1" applyFont="1" applyBorder="1" applyAlignment="1">
      <alignment horizontal="center" vertical="top" wrapText="1"/>
    </xf>
    <xf numFmtId="4" fontId="3" fillId="0" borderId="0" xfId="0" applyNumberFormat="1" applyFont="1" applyAlignment="1">
      <alignment vertical="center" wrapText="1"/>
    </xf>
    <xf numFmtId="0" fontId="3" fillId="0" borderId="4" xfId="0" applyFont="1" applyBorder="1" applyAlignment="1">
      <alignment horizontal="center" vertical="top" wrapText="1"/>
    </xf>
    <xf numFmtId="0" fontId="3" fillId="2" borderId="4"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0" borderId="3" xfId="0" applyFont="1" applyBorder="1" applyAlignment="1">
      <alignment horizontal="center" vertical="top" wrapText="1"/>
    </xf>
    <xf numFmtId="4" fontId="6" fillId="0" borderId="4" xfId="0" applyNumberFormat="1" applyFont="1" applyBorder="1" applyAlignment="1">
      <alignment horizontal="center" vertical="top" wrapText="1"/>
    </xf>
    <xf numFmtId="4" fontId="6" fillId="2" borderId="4" xfId="0" applyNumberFormat="1" applyFont="1" applyFill="1" applyBorder="1" applyAlignment="1">
      <alignment horizontal="center" vertical="top" wrapText="1"/>
    </xf>
    <xf numFmtId="0" fontId="4" fillId="0" borderId="0" xfId="0" applyFont="1" applyAlignment="1">
      <alignment horizontal="left" vertical="top" wrapText="1"/>
    </xf>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0"/>
  <sheetViews>
    <sheetView showGridLines="0" tabSelected="1" view="pageBreakPreview" topLeftCell="B14" zoomScale="124" zoomScaleNormal="100" zoomScaleSheetLayoutView="124" workbookViewId="0">
      <selection activeCell="I716" sqref="I716"/>
    </sheetView>
  </sheetViews>
  <sheetFormatPr defaultRowHeight="15" x14ac:dyDescent="0.25"/>
  <cols>
    <col min="1" max="1" width="5.42578125" style="5" hidden="1" customWidth="1"/>
    <col min="2" max="2" width="7.5703125" style="5" customWidth="1"/>
    <col min="3" max="3" width="8.28515625" style="5" customWidth="1"/>
    <col min="4" max="4" width="39.140625" style="47" customWidth="1"/>
    <col min="5" max="5" width="8.140625" style="5" customWidth="1"/>
    <col min="6" max="6" width="9.42578125" style="65" bestFit="1" customWidth="1"/>
    <col min="7" max="7" width="9.5703125" style="54" customWidth="1"/>
    <col min="8" max="8" width="11.85546875" style="44" customWidth="1"/>
    <col min="9" max="9" width="15.85546875" style="34" customWidth="1"/>
    <col min="10" max="10" width="11.42578125" style="5" bestFit="1" customWidth="1"/>
    <col min="11" max="12" width="9.140625" style="5"/>
    <col min="13" max="13" width="9.85546875" style="5" bestFit="1" customWidth="1"/>
    <col min="14" max="16384" width="9.140625" style="5"/>
  </cols>
  <sheetData>
    <row r="1" spans="1:9" s="1" customFormat="1" ht="26.25" customHeight="1" x14ac:dyDescent="0.25">
      <c r="B1" s="74" t="s">
        <v>456</v>
      </c>
      <c r="C1" s="74"/>
      <c r="D1" s="74"/>
      <c r="E1" s="74"/>
      <c r="F1" s="74"/>
      <c r="G1" s="74"/>
      <c r="H1" s="74"/>
      <c r="I1" s="30"/>
    </row>
    <row r="2" spans="1:9" s="2" customFormat="1" ht="12" x14ac:dyDescent="0.25">
      <c r="D2" s="46"/>
      <c r="F2" s="58"/>
      <c r="G2" s="49"/>
      <c r="H2" s="36" t="s">
        <v>0</v>
      </c>
      <c r="I2" s="31"/>
    </row>
    <row r="3" spans="1:9" s="3" customFormat="1" ht="27.4" customHeight="1" x14ac:dyDescent="0.25">
      <c r="B3" s="7" t="s">
        <v>1</v>
      </c>
      <c r="C3" s="7" t="s">
        <v>2</v>
      </c>
      <c r="D3" s="7" t="s">
        <v>3</v>
      </c>
      <c r="E3" s="7" t="s">
        <v>4</v>
      </c>
      <c r="F3" s="59" t="s">
        <v>5</v>
      </c>
      <c r="G3" s="50" t="s">
        <v>6</v>
      </c>
      <c r="H3" s="37" t="s">
        <v>7</v>
      </c>
      <c r="I3" s="32"/>
    </row>
    <row r="4" spans="1:9" s="3" customFormat="1" ht="24" customHeight="1" x14ac:dyDescent="0.25">
      <c r="A4" s="3">
        <v>159</v>
      </c>
      <c r="B4" s="8" t="s">
        <v>8</v>
      </c>
      <c r="C4" s="9" t="s">
        <v>9</v>
      </c>
      <c r="D4" s="10" t="s">
        <v>10</v>
      </c>
      <c r="E4" s="11"/>
      <c r="F4" s="60"/>
      <c r="G4" s="16"/>
      <c r="H4" s="38"/>
      <c r="I4" s="32"/>
    </row>
    <row r="5" spans="1:9" s="3" customFormat="1" ht="8.4499999999999993" customHeight="1" x14ac:dyDescent="0.25">
      <c r="B5" s="12"/>
      <c r="C5" s="13"/>
      <c r="D5" s="13"/>
      <c r="E5" s="13"/>
      <c r="F5" s="61"/>
      <c r="G5" s="51"/>
      <c r="H5" s="39"/>
      <c r="I5" s="32"/>
    </row>
    <row r="6" spans="1:9" s="3" customFormat="1" ht="12" customHeight="1" x14ac:dyDescent="0.25">
      <c r="A6" s="3">
        <v>298</v>
      </c>
      <c r="B6" s="8" t="s">
        <v>11</v>
      </c>
      <c r="C6" s="9" t="s">
        <v>12</v>
      </c>
      <c r="D6" s="10" t="s">
        <v>13</v>
      </c>
      <c r="E6" s="11"/>
      <c r="F6" s="60"/>
      <c r="G6" s="16"/>
      <c r="H6" s="38"/>
      <c r="I6" s="32"/>
    </row>
    <row r="7" spans="1:9" s="3" customFormat="1" ht="8.4499999999999993" customHeight="1" x14ac:dyDescent="0.25">
      <c r="B7" s="12"/>
      <c r="C7" s="13"/>
      <c r="D7" s="13"/>
      <c r="E7" s="13"/>
      <c r="F7" s="61"/>
      <c r="G7" s="51"/>
      <c r="H7" s="39"/>
      <c r="I7" s="32"/>
    </row>
    <row r="8" spans="1:9" s="3" customFormat="1" ht="12" customHeight="1" x14ac:dyDescent="0.25">
      <c r="A8" s="3">
        <v>300</v>
      </c>
      <c r="B8" s="8" t="s">
        <v>14</v>
      </c>
      <c r="C8" s="9" t="s">
        <v>15</v>
      </c>
      <c r="D8" s="10" t="s">
        <v>16</v>
      </c>
      <c r="E8" s="15" t="s">
        <v>17</v>
      </c>
      <c r="F8" s="60">
        <v>1</v>
      </c>
      <c r="G8" s="16">
        <v>100000</v>
      </c>
      <c r="H8" s="16">
        <f>F8*G8</f>
        <v>100000</v>
      </c>
      <c r="I8" s="32"/>
    </row>
    <row r="9" spans="1:9" s="3" customFormat="1" ht="8.4499999999999993" customHeight="1" x14ac:dyDescent="0.25">
      <c r="B9" s="12"/>
      <c r="C9" s="13"/>
      <c r="D9" s="13"/>
      <c r="E9" s="13"/>
      <c r="F9" s="61"/>
      <c r="G9" s="51"/>
      <c r="H9" s="39"/>
      <c r="I9" s="32"/>
    </row>
    <row r="10" spans="1:9" s="3" customFormat="1" ht="12" customHeight="1" x14ac:dyDescent="0.25">
      <c r="A10" s="3">
        <v>302</v>
      </c>
      <c r="B10" s="14"/>
      <c r="C10" s="9" t="s">
        <v>18</v>
      </c>
      <c r="D10" s="10" t="s">
        <v>19</v>
      </c>
      <c r="E10" s="11"/>
      <c r="F10" s="60"/>
      <c r="G10" s="16"/>
      <c r="H10" s="38"/>
      <c r="I10" s="32"/>
    </row>
    <row r="11" spans="1:9" s="3" customFormat="1" ht="8.4499999999999993" customHeight="1" x14ac:dyDescent="0.25">
      <c r="B11" s="12"/>
      <c r="C11" s="13"/>
      <c r="D11" s="13"/>
      <c r="E11" s="13"/>
      <c r="F11" s="61"/>
      <c r="G11" s="51"/>
      <c r="H11" s="39"/>
      <c r="I11" s="32"/>
    </row>
    <row r="12" spans="1:9" s="3" customFormat="1" ht="12" customHeight="1" x14ac:dyDescent="0.25">
      <c r="A12" s="3">
        <v>304</v>
      </c>
      <c r="B12" s="14"/>
      <c r="C12" s="9" t="s">
        <v>20</v>
      </c>
      <c r="D12" s="10" t="s">
        <v>21</v>
      </c>
      <c r="E12" s="11"/>
      <c r="F12" s="60"/>
      <c r="G12" s="16"/>
      <c r="H12" s="38"/>
      <c r="I12" s="32"/>
    </row>
    <row r="13" spans="1:9" s="3" customFormat="1" ht="8.4499999999999993" customHeight="1" x14ac:dyDescent="0.25">
      <c r="B13" s="12"/>
      <c r="C13" s="13"/>
      <c r="D13" s="13"/>
      <c r="E13" s="13"/>
      <c r="F13" s="61"/>
      <c r="G13" s="51"/>
      <c r="H13" s="39"/>
      <c r="I13" s="32"/>
    </row>
    <row r="14" spans="1:9" s="3" customFormat="1" ht="12" customHeight="1" x14ac:dyDescent="0.25">
      <c r="A14" s="3">
        <v>306</v>
      </c>
      <c r="B14" s="8" t="s">
        <v>22</v>
      </c>
      <c r="C14" s="11"/>
      <c r="D14" s="10" t="s">
        <v>23</v>
      </c>
      <c r="E14" s="15" t="s">
        <v>24</v>
      </c>
      <c r="F14" s="60">
        <v>2</v>
      </c>
      <c r="G14" s="16">
        <v>17000</v>
      </c>
      <c r="H14" s="16">
        <f>F14*G14</f>
        <v>34000</v>
      </c>
      <c r="I14" s="32"/>
    </row>
    <row r="15" spans="1:9" s="3" customFormat="1" ht="8.4499999999999993" customHeight="1" x14ac:dyDescent="0.25">
      <c r="B15" s="12"/>
      <c r="C15" s="13"/>
      <c r="D15" s="13"/>
      <c r="E15" s="13"/>
      <c r="F15" s="61"/>
      <c r="G15" s="51"/>
      <c r="H15" s="39"/>
      <c r="I15" s="32"/>
    </row>
    <row r="16" spans="1:9" s="3" customFormat="1" ht="12" customHeight="1" x14ac:dyDescent="0.25">
      <c r="A16" s="3">
        <v>308</v>
      </c>
      <c r="B16" s="8" t="s">
        <v>25</v>
      </c>
      <c r="C16" s="9" t="s">
        <v>26</v>
      </c>
      <c r="D16" s="10" t="s">
        <v>27</v>
      </c>
      <c r="E16" s="11"/>
      <c r="F16" s="60"/>
      <c r="G16" s="16"/>
      <c r="H16" s="38"/>
      <c r="I16" s="32"/>
    </row>
    <row r="17" spans="1:9" s="3" customFormat="1" ht="8.4499999999999993" customHeight="1" x14ac:dyDescent="0.25">
      <c r="B17" s="12"/>
      <c r="C17" s="13"/>
      <c r="D17" s="13"/>
      <c r="E17" s="13"/>
      <c r="F17" s="61"/>
      <c r="G17" s="51"/>
      <c r="H17" s="39"/>
      <c r="I17" s="32"/>
    </row>
    <row r="18" spans="1:9" s="3" customFormat="1" ht="12" customHeight="1" x14ac:dyDescent="0.25">
      <c r="A18" s="3">
        <v>310</v>
      </c>
      <c r="B18" s="8" t="s">
        <v>28</v>
      </c>
      <c r="C18" s="11"/>
      <c r="D18" s="10" t="s">
        <v>29</v>
      </c>
      <c r="E18" s="15" t="s">
        <v>17</v>
      </c>
      <c r="F18" s="60">
        <v>1</v>
      </c>
      <c r="G18" s="16">
        <v>60000</v>
      </c>
      <c r="H18" s="16">
        <f>F18*G18</f>
        <v>60000</v>
      </c>
      <c r="I18" s="32"/>
    </row>
    <row r="19" spans="1:9" s="3" customFormat="1" ht="8.4499999999999993" customHeight="1" x14ac:dyDescent="0.25">
      <c r="B19" s="12"/>
      <c r="C19" s="13"/>
      <c r="D19" s="13"/>
      <c r="E19" s="13"/>
      <c r="F19" s="61"/>
      <c r="G19" s="51"/>
      <c r="H19" s="39"/>
      <c r="I19" s="32"/>
    </row>
    <row r="20" spans="1:9" s="3" customFormat="1" ht="12" customHeight="1" x14ac:dyDescent="0.25">
      <c r="A20" s="3">
        <v>312</v>
      </c>
      <c r="B20" s="8" t="s">
        <v>30</v>
      </c>
      <c r="C20" s="11"/>
      <c r="D20" s="10" t="s">
        <v>31</v>
      </c>
      <c r="E20" s="15" t="s">
        <v>17</v>
      </c>
      <c r="F20" s="60"/>
      <c r="G20" s="16"/>
      <c r="H20" s="38"/>
      <c r="I20" s="32"/>
    </row>
    <row r="21" spans="1:9" s="3" customFormat="1" ht="8.4499999999999993" customHeight="1" x14ac:dyDescent="0.25">
      <c r="B21" s="12"/>
      <c r="C21" s="13"/>
      <c r="D21" s="13"/>
      <c r="E21" s="13"/>
      <c r="F21" s="61"/>
      <c r="G21" s="51"/>
      <c r="H21" s="39"/>
      <c r="I21" s="32"/>
    </row>
    <row r="22" spans="1:9" s="3" customFormat="1" ht="12" customHeight="1" x14ac:dyDescent="0.25">
      <c r="A22" s="3">
        <v>314</v>
      </c>
      <c r="B22" s="8" t="s">
        <v>32</v>
      </c>
      <c r="C22" s="11"/>
      <c r="D22" s="10" t="s">
        <v>33</v>
      </c>
      <c r="E22" s="15" t="s">
        <v>17</v>
      </c>
      <c r="F22" s="60">
        <v>1</v>
      </c>
      <c r="G22" s="16">
        <v>60000</v>
      </c>
      <c r="H22" s="16">
        <f>F22*G22</f>
        <v>60000</v>
      </c>
      <c r="I22" s="32"/>
    </row>
    <row r="23" spans="1:9" s="3" customFormat="1" ht="8.4499999999999993" customHeight="1" x14ac:dyDescent="0.25">
      <c r="B23" s="12"/>
      <c r="C23" s="13"/>
      <c r="D23" s="13"/>
      <c r="E23" s="13"/>
      <c r="F23" s="61"/>
      <c r="G23" s="51"/>
      <c r="H23" s="39"/>
      <c r="I23" s="32"/>
    </row>
    <row r="24" spans="1:9" s="3" customFormat="1" ht="24" customHeight="1" x14ac:dyDescent="0.25">
      <c r="A24" s="3">
        <v>316</v>
      </c>
      <c r="B24" s="8" t="s">
        <v>34</v>
      </c>
      <c r="C24" s="11"/>
      <c r="D24" s="10" t="s">
        <v>35</v>
      </c>
      <c r="E24" s="15" t="s">
        <v>17</v>
      </c>
      <c r="F24" s="60">
        <v>1</v>
      </c>
      <c r="G24" s="16">
        <v>60000</v>
      </c>
      <c r="H24" s="16">
        <f>F24*G24</f>
        <v>60000</v>
      </c>
      <c r="I24" s="32"/>
    </row>
    <row r="25" spans="1:9" s="3" customFormat="1" ht="8.4499999999999993" customHeight="1" x14ac:dyDescent="0.25">
      <c r="B25" s="12"/>
      <c r="C25" s="13"/>
      <c r="D25" s="13"/>
      <c r="E25" s="13"/>
      <c r="F25" s="61"/>
      <c r="G25" s="51"/>
      <c r="H25" s="39"/>
      <c r="I25" s="32"/>
    </row>
    <row r="26" spans="1:9" s="3" customFormat="1" ht="12" customHeight="1" x14ac:dyDescent="0.25">
      <c r="A26" s="3">
        <v>318</v>
      </c>
      <c r="B26" s="8" t="s">
        <v>36</v>
      </c>
      <c r="C26" s="9" t="s">
        <v>37</v>
      </c>
      <c r="D26" s="10" t="s">
        <v>38</v>
      </c>
      <c r="E26" s="15" t="s">
        <v>17</v>
      </c>
      <c r="F26" s="60"/>
      <c r="G26" s="16"/>
      <c r="H26" s="38"/>
      <c r="I26" s="32"/>
    </row>
    <row r="27" spans="1:9" s="3" customFormat="1" ht="8.4499999999999993" customHeight="1" x14ac:dyDescent="0.25">
      <c r="B27" s="12"/>
      <c r="C27" s="13"/>
      <c r="D27" s="13"/>
      <c r="E27" s="13"/>
      <c r="F27" s="61"/>
      <c r="G27" s="51"/>
      <c r="H27" s="39"/>
      <c r="I27" s="32"/>
    </row>
    <row r="28" spans="1:9" s="3" customFormat="1" ht="24" x14ac:dyDescent="0.25">
      <c r="A28" s="3">
        <v>320</v>
      </c>
      <c r="B28" s="14"/>
      <c r="C28" s="9" t="s">
        <v>39</v>
      </c>
      <c r="D28" s="10" t="s">
        <v>40</v>
      </c>
      <c r="E28" s="15" t="s">
        <v>17</v>
      </c>
      <c r="F28" s="60">
        <v>1</v>
      </c>
      <c r="G28" s="16">
        <v>60000</v>
      </c>
      <c r="H28" s="16">
        <f>F28*G28</f>
        <v>60000</v>
      </c>
      <c r="I28" s="32"/>
    </row>
    <row r="29" spans="1:9" s="3" customFormat="1" ht="8.4499999999999993" customHeight="1" x14ac:dyDescent="0.25">
      <c r="B29" s="12"/>
      <c r="C29" s="13"/>
      <c r="D29" s="13"/>
      <c r="E29" s="13"/>
      <c r="F29" s="61"/>
      <c r="G29" s="51"/>
      <c r="H29" s="39"/>
      <c r="I29" s="32"/>
    </row>
    <row r="30" spans="1:9" s="3" customFormat="1" ht="12" customHeight="1" x14ac:dyDescent="0.25">
      <c r="A30" s="3">
        <v>322</v>
      </c>
      <c r="B30" s="8" t="s">
        <v>41</v>
      </c>
      <c r="C30" s="9" t="s">
        <v>42</v>
      </c>
      <c r="D30" s="10" t="s">
        <v>43</v>
      </c>
      <c r="E30" s="11"/>
      <c r="F30" s="60"/>
      <c r="G30" s="16"/>
      <c r="H30" s="38"/>
      <c r="I30" s="32"/>
    </row>
    <row r="31" spans="1:9" s="3" customFormat="1" ht="8.4499999999999993" customHeight="1" x14ac:dyDescent="0.25">
      <c r="B31" s="12"/>
      <c r="C31" s="13"/>
      <c r="D31" s="13"/>
      <c r="E31" s="13"/>
      <c r="F31" s="61"/>
      <c r="G31" s="51"/>
      <c r="H31" s="39"/>
      <c r="I31" s="32"/>
    </row>
    <row r="32" spans="1:9" s="3" customFormat="1" ht="12" customHeight="1" x14ac:dyDescent="0.25">
      <c r="A32" s="3">
        <v>324</v>
      </c>
      <c r="B32" s="8" t="s">
        <v>44</v>
      </c>
      <c r="C32" s="9" t="s">
        <v>45</v>
      </c>
      <c r="D32" s="10" t="s">
        <v>46</v>
      </c>
      <c r="E32" s="15" t="s">
        <v>17</v>
      </c>
      <c r="F32" s="60">
        <v>1</v>
      </c>
      <c r="G32" s="16">
        <v>50000</v>
      </c>
      <c r="H32" s="16">
        <f>F32*G32</f>
        <v>50000</v>
      </c>
      <c r="I32" s="32"/>
    </row>
    <row r="33" spans="1:9" s="3" customFormat="1" ht="8.4499999999999993" customHeight="1" x14ac:dyDescent="0.25">
      <c r="B33" s="12"/>
      <c r="C33" s="13"/>
      <c r="D33" s="13"/>
      <c r="E33" s="13"/>
      <c r="F33" s="61"/>
      <c r="G33" s="51"/>
      <c r="H33" s="39"/>
      <c r="I33" s="32"/>
    </row>
    <row r="34" spans="1:9" s="3" customFormat="1" ht="24" customHeight="1" x14ac:dyDescent="0.25">
      <c r="A34" s="3">
        <v>326</v>
      </c>
      <c r="B34" s="14"/>
      <c r="C34" s="9" t="s">
        <v>47</v>
      </c>
      <c r="D34" s="10" t="s">
        <v>48</v>
      </c>
      <c r="E34" s="11"/>
      <c r="F34" s="60"/>
      <c r="G34" s="16"/>
      <c r="H34" s="38"/>
      <c r="I34" s="32"/>
    </row>
    <row r="35" spans="1:9" s="3" customFormat="1" ht="8.4499999999999993" customHeight="1" x14ac:dyDescent="0.25">
      <c r="B35" s="12"/>
      <c r="C35" s="13"/>
      <c r="D35" s="13"/>
      <c r="E35" s="13"/>
      <c r="F35" s="61"/>
      <c r="G35" s="51"/>
      <c r="H35" s="39"/>
      <c r="I35" s="32"/>
    </row>
    <row r="36" spans="1:9" s="3" customFormat="1" ht="12" customHeight="1" x14ac:dyDescent="0.25">
      <c r="A36" s="3">
        <v>328</v>
      </c>
      <c r="B36" s="14"/>
      <c r="C36" s="9" t="s">
        <v>49</v>
      </c>
      <c r="D36" s="10" t="s">
        <v>50</v>
      </c>
      <c r="E36" s="11"/>
      <c r="F36" s="60"/>
      <c r="G36" s="16"/>
      <c r="H36" s="38"/>
      <c r="I36" s="32"/>
    </row>
    <row r="37" spans="1:9" s="3" customFormat="1" ht="8.4499999999999993" customHeight="1" x14ac:dyDescent="0.25">
      <c r="B37" s="12"/>
      <c r="C37" s="13"/>
      <c r="D37" s="13"/>
      <c r="E37" s="13"/>
      <c r="F37" s="61"/>
      <c r="G37" s="51"/>
      <c r="H37" s="39"/>
      <c r="I37" s="32"/>
    </row>
    <row r="38" spans="1:9" s="3" customFormat="1" ht="12" customHeight="1" x14ac:dyDescent="0.25">
      <c r="A38" s="3">
        <v>330</v>
      </c>
      <c r="B38" s="8" t="s">
        <v>51</v>
      </c>
      <c r="C38" s="11"/>
      <c r="D38" s="10" t="s">
        <v>29</v>
      </c>
      <c r="E38" s="15" t="s">
        <v>17</v>
      </c>
      <c r="F38" s="60">
        <v>1</v>
      </c>
      <c r="G38" s="16">
        <v>50000</v>
      </c>
      <c r="H38" s="16">
        <f>F38*G38</f>
        <v>50000</v>
      </c>
      <c r="I38" s="32"/>
    </row>
    <row r="39" spans="1:9" s="3" customFormat="1" ht="8.4499999999999993" customHeight="1" x14ac:dyDescent="0.25">
      <c r="B39" s="12"/>
      <c r="C39" s="13"/>
      <c r="D39" s="13"/>
      <c r="E39" s="13"/>
      <c r="F39" s="61"/>
      <c r="G39" s="51"/>
      <c r="H39" s="39"/>
      <c r="I39" s="32"/>
    </row>
    <row r="40" spans="1:9" s="3" customFormat="1" ht="12" customHeight="1" x14ac:dyDescent="0.25">
      <c r="A40" s="3">
        <v>332</v>
      </c>
      <c r="B40" s="8" t="s">
        <v>54</v>
      </c>
      <c r="C40" s="11"/>
      <c r="D40" s="10" t="s">
        <v>31</v>
      </c>
      <c r="E40" s="15" t="s">
        <v>17</v>
      </c>
      <c r="F40" s="60"/>
      <c r="G40" s="16"/>
      <c r="H40" s="38"/>
      <c r="I40" s="32"/>
    </row>
    <row r="41" spans="1:9" s="3" customFormat="1" ht="8.4499999999999993" customHeight="1" x14ac:dyDescent="0.25">
      <c r="B41" s="12"/>
      <c r="C41" s="13"/>
      <c r="D41" s="13"/>
      <c r="E41" s="13"/>
      <c r="F41" s="61"/>
      <c r="G41" s="51"/>
      <c r="H41" s="39"/>
      <c r="I41" s="32"/>
    </row>
    <row r="42" spans="1:9" s="3" customFormat="1" ht="12" customHeight="1" x14ac:dyDescent="0.25">
      <c r="A42" s="3">
        <v>334</v>
      </c>
      <c r="B42" s="8" t="s">
        <v>55</v>
      </c>
      <c r="C42" s="11"/>
      <c r="D42" s="10" t="s">
        <v>33</v>
      </c>
      <c r="E42" s="15" t="s">
        <v>17</v>
      </c>
      <c r="F42" s="60">
        <v>1</v>
      </c>
      <c r="G42" s="16">
        <v>50000</v>
      </c>
      <c r="H42" s="16">
        <f>F42*G42</f>
        <v>50000</v>
      </c>
      <c r="I42" s="32"/>
    </row>
    <row r="43" spans="1:9" s="3" customFormat="1" ht="8.4499999999999993" customHeight="1" x14ac:dyDescent="0.25">
      <c r="B43" s="12"/>
      <c r="C43" s="13"/>
      <c r="D43" s="13"/>
      <c r="E43" s="13"/>
      <c r="F43" s="61"/>
      <c r="G43" s="51"/>
      <c r="H43" s="39"/>
      <c r="I43" s="32"/>
    </row>
    <row r="44" spans="1:9" s="3" customFormat="1" ht="12" customHeight="1" x14ac:dyDescent="0.25">
      <c r="A44" s="3">
        <v>336</v>
      </c>
      <c r="B44" s="8" t="s">
        <v>56</v>
      </c>
      <c r="C44" s="11"/>
      <c r="D44" s="10" t="s">
        <v>35</v>
      </c>
      <c r="E44" s="15" t="s">
        <v>17</v>
      </c>
      <c r="F44" s="60">
        <v>1</v>
      </c>
      <c r="G44" s="16">
        <v>60000</v>
      </c>
      <c r="H44" s="16">
        <f>F44*G44</f>
        <v>60000</v>
      </c>
      <c r="I44" s="32"/>
    </row>
    <row r="45" spans="1:9" s="3" customFormat="1" ht="8.4499999999999993" customHeight="1" x14ac:dyDescent="0.25">
      <c r="B45" s="12"/>
      <c r="C45" s="13"/>
      <c r="D45" s="13"/>
      <c r="E45" s="13"/>
      <c r="F45" s="61"/>
      <c r="G45" s="51"/>
      <c r="H45" s="39"/>
      <c r="I45" s="32"/>
    </row>
    <row r="46" spans="1:9" s="3" customFormat="1" ht="12" customHeight="1" x14ac:dyDescent="0.25">
      <c r="A46" s="3">
        <v>338</v>
      </c>
      <c r="B46" s="8" t="s">
        <v>57</v>
      </c>
      <c r="C46" s="9" t="s">
        <v>58</v>
      </c>
      <c r="D46" s="10" t="s">
        <v>59</v>
      </c>
      <c r="E46" s="15" t="s">
        <v>17</v>
      </c>
      <c r="F46" s="60">
        <v>1</v>
      </c>
      <c r="G46" s="16">
        <v>60000</v>
      </c>
      <c r="H46" s="16">
        <f>F46*G46</f>
        <v>60000</v>
      </c>
      <c r="I46" s="32"/>
    </row>
    <row r="47" spans="1:9" s="3" customFormat="1" ht="8.4499999999999993" customHeight="1" x14ac:dyDescent="0.25">
      <c r="B47" s="12"/>
      <c r="C47" s="13"/>
      <c r="D47" s="13"/>
      <c r="E47" s="13"/>
      <c r="F47" s="61"/>
      <c r="G47" s="51"/>
      <c r="H47" s="39"/>
      <c r="I47" s="32"/>
    </row>
    <row r="48" spans="1:9" s="3" customFormat="1" ht="12" customHeight="1" x14ac:dyDescent="0.25">
      <c r="A48" s="3">
        <v>340</v>
      </c>
      <c r="B48" s="8" t="s">
        <v>60</v>
      </c>
      <c r="C48" s="11"/>
      <c r="D48" s="10" t="s">
        <v>61</v>
      </c>
      <c r="E48" s="15" t="s">
        <v>62</v>
      </c>
      <c r="F48" s="60">
        <v>9</v>
      </c>
      <c r="G48" s="16">
        <v>7300</v>
      </c>
      <c r="H48" s="16">
        <f>F48*G48</f>
        <v>65700</v>
      </c>
      <c r="I48" s="32"/>
    </row>
    <row r="49" spans="1:9" s="3" customFormat="1" ht="8.4499999999999993" customHeight="1" x14ac:dyDescent="0.25">
      <c r="B49" s="12"/>
      <c r="C49" s="13"/>
      <c r="D49" s="13"/>
      <c r="E49" s="13"/>
      <c r="F49" s="61"/>
      <c r="G49" s="51"/>
      <c r="H49" s="39"/>
      <c r="I49" s="32"/>
    </row>
    <row r="50" spans="1:9" s="3" customFormat="1" ht="12" customHeight="1" x14ac:dyDescent="0.25">
      <c r="A50" s="3">
        <v>342</v>
      </c>
      <c r="B50" s="8" t="s">
        <v>63</v>
      </c>
      <c r="C50" s="9" t="s">
        <v>64</v>
      </c>
      <c r="D50" s="10" t="s">
        <v>65</v>
      </c>
      <c r="E50" s="15" t="s">
        <v>17</v>
      </c>
      <c r="F50" s="60">
        <v>1</v>
      </c>
      <c r="G50" s="16">
        <v>60000</v>
      </c>
      <c r="H50" s="16">
        <f>F50*G50</f>
        <v>60000</v>
      </c>
      <c r="I50" s="32"/>
    </row>
    <row r="51" spans="1:9" s="3" customFormat="1" ht="8.4499999999999993" customHeight="1" x14ac:dyDescent="0.25">
      <c r="B51" s="12"/>
      <c r="C51" s="13"/>
      <c r="D51" s="13"/>
      <c r="E51" s="13"/>
      <c r="F51" s="61"/>
      <c r="G51" s="51"/>
      <c r="H51" s="39"/>
      <c r="I51" s="32"/>
    </row>
    <row r="52" spans="1:9" s="3" customFormat="1" ht="12" customHeight="1" x14ac:dyDescent="0.25">
      <c r="A52" s="3">
        <v>344</v>
      </c>
      <c r="B52" s="8" t="s">
        <v>66</v>
      </c>
      <c r="C52" s="9" t="s">
        <v>67</v>
      </c>
      <c r="D52" s="10" t="s">
        <v>68</v>
      </c>
      <c r="E52" s="11"/>
      <c r="F52" s="60"/>
      <c r="G52" s="16"/>
      <c r="H52" s="38"/>
      <c r="I52" s="32"/>
    </row>
    <row r="53" spans="1:9" s="3" customFormat="1" ht="8.4499999999999993" customHeight="1" x14ac:dyDescent="0.25">
      <c r="B53" s="12"/>
      <c r="C53" s="13"/>
      <c r="D53" s="13"/>
      <c r="E53" s="13"/>
      <c r="F53" s="61"/>
      <c r="G53" s="51"/>
      <c r="H53" s="39"/>
      <c r="I53" s="32"/>
    </row>
    <row r="54" spans="1:9" s="3" customFormat="1" ht="24" customHeight="1" x14ac:dyDescent="0.25">
      <c r="A54" s="3">
        <v>345</v>
      </c>
      <c r="B54" s="14"/>
      <c r="C54" s="11"/>
      <c r="D54" s="10" t="s">
        <v>69</v>
      </c>
      <c r="E54" s="11"/>
      <c r="F54" s="60"/>
      <c r="G54" s="16"/>
      <c r="H54" s="38"/>
      <c r="I54" s="32"/>
    </row>
    <row r="55" spans="1:9" s="3" customFormat="1" ht="8.4499999999999993" customHeight="1" x14ac:dyDescent="0.25">
      <c r="B55" s="12"/>
      <c r="C55" s="13"/>
      <c r="D55" s="13"/>
      <c r="E55" s="13"/>
      <c r="F55" s="61"/>
      <c r="G55" s="51"/>
      <c r="H55" s="39"/>
      <c r="I55" s="32"/>
    </row>
    <row r="56" spans="1:9" s="3" customFormat="1" ht="24" customHeight="1" x14ac:dyDescent="0.25">
      <c r="A56" s="3">
        <v>346</v>
      </c>
      <c r="B56" s="8" t="s">
        <v>70</v>
      </c>
      <c r="C56" s="11"/>
      <c r="D56" s="10" t="s">
        <v>71</v>
      </c>
      <c r="E56" s="15" t="s">
        <v>72</v>
      </c>
      <c r="F56" s="60">
        <v>1</v>
      </c>
      <c r="G56" s="16">
        <v>10000</v>
      </c>
      <c r="H56" s="16">
        <f>F56*G56</f>
        <v>10000</v>
      </c>
      <c r="I56" s="32"/>
    </row>
    <row r="57" spans="1:9" s="3" customFormat="1" ht="8.4499999999999993" customHeight="1" x14ac:dyDescent="0.25">
      <c r="B57" s="12"/>
      <c r="C57" s="13"/>
      <c r="D57" s="13"/>
      <c r="E57" s="13"/>
      <c r="F57" s="61"/>
      <c r="G57" s="51"/>
      <c r="H57" s="39"/>
      <c r="I57" s="32"/>
    </row>
    <row r="58" spans="1:9" s="3" customFormat="1" ht="24" customHeight="1" x14ac:dyDescent="0.25">
      <c r="A58" s="3">
        <v>348</v>
      </c>
      <c r="B58" s="14"/>
      <c r="C58" s="11"/>
      <c r="D58" s="10" t="s">
        <v>73</v>
      </c>
      <c r="E58" s="11"/>
      <c r="F58" s="60"/>
      <c r="G58" s="16"/>
      <c r="H58" s="38"/>
      <c r="I58" s="32"/>
    </row>
    <row r="59" spans="1:9" s="3" customFormat="1" ht="8.4499999999999993" customHeight="1" x14ac:dyDescent="0.25">
      <c r="B59" s="12"/>
      <c r="C59" s="13"/>
      <c r="D59" s="13"/>
      <c r="E59" s="13"/>
      <c r="F59" s="61"/>
      <c r="G59" s="51"/>
      <c r="H59" s="39"/>
      <c r="I59" s="32"/>
    </row>
    <row r="60" spans="1:9" s="3" customFormat="1" ht="12.75" customHeight="1" x14ac:dyDescent="0.25">
      <c r="B60" s="14"/>
      <c r="C60" s="11"/>
      <c r="D60" s="10"/>
      <c r="E60" s="11"/>
      <c r="F60" s="60"/>
      <c r="G60" s="16"/>
      <c r="H60" s="38"/>
      <c r="I60" s="32"/>
    </row>
    <row r="61" spans="1:9" s="3" customFormat="1" ht="8.4499999999999993" customHeight="1" x14ac:dyDescent="0.25">
      <c r="B61" s="12"/>
      <c r="C61" s="13"/>
      <c r="D61" s="13"/>
      <c r="E61" s="13"/>
      <c r="F61" s="61"/>
      <c r="G61" s="51"/>
      <c r="H61" s="39"/>
      <c r="I61" s="32"/>
    </row>
    <row r="62" spans="1:9" s="3" customFormat="1" ht="11.25" customHeight="1" x14ac:dyDescent="0.25">
      <c r="B62" s="14"/>
      <c r="C62" s="11"/>
      <c r="D62" s="10"/>
      <c r="E62" s="11"/>
      <c r="F62" s="60"/>
      <c r="G62" s="16"/>
      <c r="H62" s="38"/>
      <c r="I62" s="32"/>
    </row>
    <row r="63" spans="1:9" s="3" customFormat="1" ht="8.4499999999999993" customHeight="1" x14ac:dyDescent="0.25">
      <c r="B63" s="12"/>
      <c r="C63" s="13"/>
      <c r="D63" s="13"/>
      <c r="E63" s="13"/>
      <c r="F63" s="61"/>
      <c r="G63" s="51"/>
      <c r="H63" s="39"/>
      <c r="I63" s="32"/>
    </row>
    <row r="64" spans="1:9" s="3" customFormat="1" ht="9.75" customHeight="1" x14ac:dyDescent="0.25">
      <c r="B64" s="14"/>
      <c r="C64" s="11"/>
      <c r="D64" s="10"/>
      <c r="E64" s="11"/>
      <c r="F64" s="60"/>
      <c r="G64" s="16"/>
      <c r="H64" s="38"/>
      <c r="I64" s="32"/>
    </row>
    <row r="65" spans="1:9" s="3" customFormat="1" ht="8.4499999999999993" customHeight="1" x14ac:dyDescent="0.25">
      <c r="B65" s="12"/>
      <c r="C65" s="13"/>
      <c r="D65" s="13"/>
      <c r="E65" s="13"/>
      <c r="F65" s="61"/>
      <c r="G65" s="51"/>
      <c r="H65" s="39"/>
      <c r="I65" s="32"/>
    </row>
    <row r="66" spans="1:9" s="3" customFormat="1" ht="9.75" customHeight="1" x14ac:dyDescent="0.25">
      <c r="B66" s="14"/>
      <c r="C66" s="11"/>
      <c r="D66" s="10"/>
      <c r="E66" s="11"/>
      <c r="F66" s="60"/>
      <c r="G66" s="16"/>
      <c r="H66" s="38"/>
      <c r="I66" s="32"/>
    </row>
    <row r="67" spans="1:9" s="4" customFormat="1" ht="16.5" customHeight="1" x14ac:dyDescent="0.25">
      <c r="B67" s="17" t="s">
        <v>52</v>
      </c>
      <c r="C67" s="18"/>
      <c r="D67" s="18"/>
      <c r="E67" s="18"/>
      <c r="F67" s="62"/>
      <c r="G67" s="29"/>
      <c r="H67" s="19">
        <f>SUM(H8:H66)</f>
        <v>779700</v>
      </c>
      <c r="I67" s="33"/>
    </row>
    <row r="68" spans="1:9" s="1" customFormat="1" ht="26.25" customHeight="1" x14ac:dyDescent="0.25">
      <c r="B68" s="74" t="s">
        <v>456</v>
      </c>
      <c r="C68" s="74"/>
      <c r="D68" s="74"/>
      <c r="E68" s="74"/>
      <c r="F68" s="74"/>
      <c r="G68" s="74"/>
      <c r="H68" s="74"/>
      <c r="I68" s="30"/>
    </row>
    <row r="69" spans="1:9" s="2" customFormat="1" ht="12" x14ac:dyDescent="0.25">
      <c r="D69" s="46"/>
      <c r="F69" s="58"/>
      <c r="G69" s="49"/>
      <c r="H69" s="36" t="s">
        <v>0</v>
      </c>
      <c r="I69" s="31"/>
    </row>
    <row r="70" spans="1:9" s="3" customFormat="1" ht="27.4" customHeight="1" x14ac:dyDescent="0.25">
      <c r="B70" s="7" t="s">
        <v>1</v>
      </c>
      <c r="C70" s="7" t="s">
        <v>2</v>
      </c>
      <c r="D70" s="7" t="s">
        <v>3</v>
      </c>
      <c r="E70" s="7" t="s">
        <v>4</v>
      </c>
      <c r="F70" s="59" t="s">
        <v>5</v>
      </c>
      <c r="G70" s="50" t="s">
        <v>6</v>
      </c>
      <c r="H70" s="37" t="s">
        <v>7</v>
      </c>
      <c r="I70" s="32"/>
    </row>
    <row r="71" spans="1:9" s="4" customFormat="1" ht="20.100000000000001" customHeight="1" x14ac:dyDescent="0.25">
      <c r="B71" s="17" t="s">
        <v>53</v>
      </c>
      <c r="C71" s="18"/>
      <c r="D71" s="18"/>
      <c r="E71" s="18"/>
      <c r="F71" s="62"/>
      <c r="G71" s="29"/>
      <c r="H71" s="19">
        <f>H67</f>
        <v>779700</v>
      </c>
      <c r="I71" s="33"/>
    </row>
    <row r="72" spans="1:9" s="3" customFormat="1" ht="8.4499999999999993" customHeight="1" x14ac:dyDescent="0.25">
      <c r="B72" s="12"/>
      <c r="C72" s="13"/>
      <c r="D72" s="13"/>
      <c r="E72" s="13"/>
      <c r="F72" s="61"/>
      <c r="G72" s="51"/>
      <c r="H72" s="39"/>
      <c r="I72" s="32"/>
    </row>
    <row r="73" spans="1:9" s="3" customFormat="1" ht="12" customHeight="1" x14ac:dyDescent="0.25">
      <c r="A73" s="3">
        <v>350</v>
      </c>
      <c r="B73" s="8" t="s">
        <v>74</v>
      </c>
      <c r="C73" s="11"/>
      <c r="D73" s="10" t="s">
        <v>75</v>
      </c>
      <c r="E73" s="15" t="s">
        <v>76</v>
      </c>
      <c r="F73" s="60">
        <v>5000</v>
      </c>
      <c r="G73" s="16">
        <v>210</v>
      </c>
      <c r="H73" s="16">
        <f>F73/100*G73</f>
        <v>10500</v>
      </c>
      <c r="I73" s="32"/>
    </row>
    <row r="74" spans="1:9" s="3" customFormat="1" ht="8.4499999999999993" customHeight="1" x14ac:dyDescent="0.25">
      <c r="B74" s="12"/>
      <c r="C74" s="13"/>
      <c r="D74" s="13"/>
      <c r="E74" s="13"/>
      <c r="F74" s="61"/>
      <c r="G74" s="51"/>
      <c r="H74" s="39"/>
      <c r="I74" s="32"/>
    </row>
    <row r="75" spans="1:9" s="3" customFormat="1" ht="12" customHeight="1" x14ac:dyDescent="0.25">
      <c r="A75" s="3">
        <v>371</v>
      </c>
      <c r="B75" s="8" t="s">
        <v>78</v>
      </c>
      <c r="C75" s="9" t="s">
        <v>79</v>
      </c>
      <c r="D75" s="10" t="s">
        <v>80</v>
      </c>
      <c r="E75" s="11"/>
      <c r="F75" s="60"/>
      <c r="G75" s="16"/>
      <c r="H75" s="38"/>
      <c r="I75" s="32"/>
    </row>
    <row r="76" spans="1:9" s="3" customFormat="1" ht="8.4499999999999993" customHeight="1" x14ac:dyDescent="0.25">
      <c r="B76" s="12"/>
      <c r="C76" s="13"/>
      <c r="D76" s="13"/>
      <c r="E76" s="13"/>
      <c r="F76" s="61"/>
      <c r="G76" s="51"/>
      <c r="H76" s="39"/>
      <c r="I76" s="32"/>
    </row>
    <row r="77" spans="1:9" s="3" customFormat="1" ht="12" customHeight="1" x14ac:dyDescent="0.25">
      <c r="A77" s="3">
        <v>373</v>
      </c>
      <c r="B77" s="8" t="s">
        <v>81</v>
      </c>
      <c r="C77" s="11"/>
      <c r="D77" s="10" t="s">
        <v>82</v>
      </c>
      <c r="E77" s="15" t="s">
        <v>17</v>
      </c>
      <c r="F77" s="60">
        <v>1</v>
      </c>
      <c r="G77" s="16">
        <v>50000</v>
      </c>
      <c r="H77" s="16">
        <f>F77*G77</f>
        <v>50000</v>
      </c>
      <c r="I77" s="32"/>
    </row>
    <row r="78" spans="1:9" s="3" customFormat="1" ht="8.4499999999999993" customHeight="1" x14ac:dyDescent="0.25">
      <c r="B78" s="12"/>
      <c r="C78" s="13"/>
      <c r="D78" s="13"/>
      <c r="E78" s="13"/>
      <c r="F78" s="61"/>
      <c r="G78" s="51"/>
      <c r="H78" s="39"/>
      <c r="I78" s="32"/>
    </row>
    <row r="79" spans="1:9" s="3" customFormat="1" ht="12" customHeight="1" x14ac:dyDescent="0.25">
      <c r="A79" s="3">
        <v>375</v>
      </c>
      <c r="B79" s="14"/>
      <c r="C79" s="9" t="s">
        <v>83</v>
      </c>
      <c r="D79" s="10" t="s">
        <v>84</v>
      </c>
      <c r="E79" s="11"/>
      <c r="F79" s="60"/>
      <c r="G79" s="16"/>
      <c r="H79" s="38"/>
      <c r="I79" s="32"/>
    </row>
    <row r="80" spans="1:9" s="3" customFormat="1" ht="8.4499999999999993" customHeight="1" x14ac:dyDescent="0.25">
      <c r="B80" s="12"/>
      <c r="C80" s="13"/>
      <c r="D80" s="13"/>
      <c r="E80" s="13"/>
      <c r="F80" s="61"/>
      <c r="G80" s="51"/>
      <c r="H80" s="39"/>
      <c r="I80" s="32"/>
    </row>
    <row r="81" spans="1:9" s="3" customFormat="1" ht="12" customHeight="1" x14ac:dyDescent="0.25">
      <c r="A81" s="3">
        <v>377</v>
      </c>
      <c r="B81" s="8" t="s">
        <v>85</v>
      </c>
      <c r="C81" s="11"/>
      <c r="D81" s="10" t="s">
        <v>86</v>
      </c>
      <c r="E81" s="15" t="s">
        <v>17</v>
      </c>
      <c r="F81" s="60">
        <v>1</v>
      </c>
      <c r="G81" s="16">
        <v>50000</v>
      </c>
      <c r="H81" s="16">
        <f>F81*G81</f>
        <v>50000</v>
      </c>
      <c r="I81" s="32"/>
    </row>
    <row r="82" spans="1:9" s="3" customFormat="1" ht="8.4499999999999993" customHeight="1" x14ac:dyDescent="0.25">
      <c r="B82" s="12"/>
      <c r="C82" s="13"/>
      <c r="D82" s="13"/>
      <c r="E82" s="13"/>
      <c r="F82" s="61"/>
      <c r="G82" s="51"/>
      <c r="H82" s="39"/>
      <c r="I82" s="32"/>
    </row>
    <row r="83" spans="1:9" s="3" customFormat="1" ht="12" customHeight="1" x14ac:dyDescent="0.25">
      <c r="A83" s="3">
        <v>355</v>
      </c>
      <c r="B83" s="14" t="s">
        <v>435</v>
      </c>
      <c r="C83" s="11" t="s">
        <v>431</v>
      </c>
      <c r="D83" s="11" t="s">
        <v>432</v>
      </c>
      <c r="E83" s="11"/>
      <c r="F83" s="60"/>
      <c r="G83" s="16"/>
      <c r="H83" s="38"/>
      <c r="I83" s="32"/>
    </row>
    <row r="84" spans="1:9" s="3" customFormat="1" ht="8.4499999999999993" customHeight="1" x14ac:dyDescent="0.25">
      <c r="B84" s="12"/>
      <c r="C84" s="13"/>
      <c r="D84" s="13"/>
      <c r="E84" s="13"/>
      <c r="F84" s="61"/>
      <c r="G84" s="51"/>
      <c r="H84" s="39"/>
      <c r="I84" s="32"/>
    </row>
    <row r="85" spans="1:9" s="3" customFormat="1" ht="24" x14ac:dyDescent="0.25">
      <c r="A85" s="3">
        <v>356</v>
      </c>
      <c r="B85" s="14" t="s">
        <v>436</v>
      </c>
      <c r="C85" s="11"/>
      <c r="D85" s="11" t="s">
        <v>433</v>
      </c>
      <c r="E85" s="11"/>
      <c r="F85" s="60"/>
      <c r="G85" s="16"/>
      <c r="H85" s="38"/>
      <c r="I85" s="32"/>
    </row>
    <row r="86" spans="1:9" s="3" customFormat="1" ht="8.4499999999999993" customHeight="1" x14ac:dyDescent="0.25">
      <c r="B86" s="12"/>
      <c r="C86" s="13"/>
      <c r="D86" s="13"/>
      <c r="E86" s="13"/>
      <c r="F86" s="61"/>
      <c r="G86" s="51"/>
      <c r="H86" s="39"/>
      <c r="I86" s="32"/>
    </row>
    <row r="87" spans="1:9" s="3" customFormat="1" ht="36" x14ac:dyDescent="0.25">
      <c r="A87" s="3">
        <v>357</v>
      </c>
      <c r="B87" s="14" t="s">
        <v>437</v>
      </c>
      <c r="C87" s="11"/>
      <c r="D87" s="11" t="s">
        <v>434</v>
      </c>
      <c r="E87" s="15" t="s">
        <v>17</v>
      </c>
      <c r="F87" s="60">
        <v>1</v>
      </c>
      <c r="G87" s="16">
        <v>250000</v>
      </c>
      <c r="H87" s="16">
        <f>F87*G87</f>
        <v>250000</v>
      </c>
      <c r="I87" s="32"/>
    </row>
    <row r="88" spans="1:9" s="3" customFormat="1" ht="8.4499999999999993" customHeight="1" x14ac:dyDescent="0.25">
      <c r="B88" s="12"/>
      <c r="C88" s="13"/>
      <c r="D88" s="13"/>
      <c r="E88" s="13"/>
      <c r="F88" s="61"/>
      <c r="G88" s="51"/>
      <c r="H88" s="39"/>
      <c r="I88" s="32"/>
    </row>
    <row r="89" spans="1:9" s="3" customFormat="1" ht="12" customHeight="1" x14ac:dyDescent="0.25">
      <c r="B89" s="14"/>
      <c r="C89" s="11"/>
      <c r="D89" s="11"/>
      <c r="E89" s="11"/>
      <c r="F89" s="60"/>
      <c r="G89" s="16"/>
      <c r="H89" s="38"/>
      <c r="I89" s="32"/>
    </row>
    <row r="90" spans="1:9" s="3" customFormat="1" ht="8.4499999999999993" customHeight="1" x14ac:dyDescent="0.25">
      <c r="B90" s="12"/>
      <c r="C90" s="13"/>
      <c r="D90" s="13"/>
      <c r="E90" s="13"/>
      <c r="F90" s="61"/>
      <c r="G90" s="51"/>
      <c r="H90" s="39"/>
      <c r="I90" s="32"/>
    </row>
    <row r="91" spans="1:9" s="3" customFormat="1" ht="12" customHeight="1" x14ac:dyDescent="0.25">
      <c r="B91" s="14"/>
      <c r="C91" s="11"/>
      <c r="D91" s="11"/>
      <c r="E91" s="11"/>
      <c r="F91" s="60"/>
      <c r="G91" s="16"/>
      <c r="H91" s="38"/>
      <c r="I91" s="32"/>
    </row>
    <row r="92" spans="1:9" s="3" customFormat="1" ht="8.4499999999999993" customHeight="1" x14ac:dyDescent="0.25">
      <c r="B92" s="12"/>
      <c r="C92" s="13"/>
      <c r="D92" s="13"/>
      <c r="E92" s="13"/>
      <c r="F92" s="61"/>
      <c r="G92" s="51"/>
      <c r="H92" s="39"/>
      <c r="I92" s="32"/>
    </row>
    <row r="93" spans="1:9" s="3" customFormat="1" ht="12" customHeight="1" x14ac:dyDescent="0.25">
      <c r="B93" s="14"/>
      <c r="C93" s="11"/>
      <c r="D93" s="11"/>
      <c r="E93" s="11"/>
      <c r="F93" s="60"/>
      <c r="G93" s="16"/>
      <c r="H93" s="38"/>
      <c r="I93" s="32"/>
    </row>
    <row r="94" spans="1:9" s="3" customFormat="1" ht="8.4499999999999993" customHeight="1" x14ac:dyDescent="0.25">
      <c r="B94" s="12"/>
      <c r="C94" s="13"/>
      <c r="D94" s="13"/>
      <c r="E94" s="13"/>
      <c r="F94" s="61"/>
      <c r="G94" s="51"/>
      <c r="H94" s="39"/>
      <c r="I94" s="32"/>
    </row>
    <row r="95" spans="1:9" s="3" customFormat="1" ht="12" customHeight="1" x14ac:dyDescent="0.25">
      <c r="B95" s="14"/>
      <c r="C95" s="11"/>
      <c r="D95" s="11"/>
      <c r="E95" s="11"/>
      <c r="F95" s="60"/>
      <c r="G95" s="16"/>
      <c r="H95" s="38"/>
      <c r="I95" s="32"/>
    </row>
    <row r="96" spans="1:9" s="3" customFormat="1" ht="8.4499999999999993" customHeight="1" x14ac:dyDescent="0.25">
      <c r="A96" s="3">
        <v>358</v>
      </c>
      <c r="B96" s="12"/>
      <c r="C96" s="13"/>
      <c r="D96" s="13"/>
      <c r="E96" s="13"/>
      <c r="F96" s="61"/>
      <c r="G96" s="51"/>
      <c r="H96" s="39"/>
      <c r="I96" s="32"/>
    </row>
    <row r="97" spans="2:9" s="3" customFormat="1" ht="12" customHeight="1" x14ac:dyDescent="0.25">
      <c r="B97" s="14"/>
      <c r="C97" s="11"/>
      <c r="D97" s="11"/>
      <c r="E97" s="11"/>
      <c r="F97" s="60"/>
      <c r="G97" s="16"/>
      <c r="H97" s="38"/>
    </row>
    <row r="98" spans="2:9" s="3" customFormat="1" ht="8.4499999999999993" customHeight="1" x14ac:dyDescent="0.25">
      <c r="B98" s="12"/>
      <c r="C98" s="13"/>
      <c r="D98" s="13"/>
      <c r="E98" s="13"/>
      <c r="F98" s="61"/>
      <c r="G98" s="51"/>
      <c r="H98" s="39"/>
      <c r="I98" s="32"/>
    </row>
    <row r="99" spans="2:9" s="3" customFormat="1" ht="12" customHeight="1" x14ac:dyDescent="0.25">
      <c r="B99" s="14"/>
      <c r="C99" s="11"/>
      <c r="D99" s="11"/>
      <c r="E99" s="11"/>
      <c r="F99" s="60"/>
      <c r="G99" s="16"/>
      <c r="H99" s="38"/>
      <c r="I99" s="32"/>
    </row>
    <row r="100" spans="2:9" s="3" customFormat="1" ht="8.4499999999999993" customHeight="1" x14ac:dyDescent="0.25">
      <c r="B100" s="12"/>
      <c r="C100" s="13"/>
      <c r="D100" s="13"/>
      <c r="E100" s="13"/>
      <c r="F100" s="61"/>
      <c r="G100" s="51"/>
      <c r="H100" s="39"/>
      <c r="I100" s="32"/>
    </row>
    <row r="101" spans="2:9" s="3" customFormat="1" ht="12" customHeight="1" x14ac:dyDescent="0.25">
      <c r="B101" s="14"/>
      <c r="C101" s="11"/>
      <c r="D101" s="11"/>
      <c r="E101" s="11"/>
      <c r="F101" s="60"/>
      <c r="G101" s="16"/>
      <c r="H101" s="38"/>
      <c r="I101" s="32"/>
    </row>
    <row r="102" spans="2:9" s="3" customFormat="1" ht="8.4499999999999993" customHeight="1" x14ac:dyDescent="0.25">
      <c r="B102" s="12"/>
      <c r="C102" s="13"/>
      <c r="D102" s="13"/>
      <c r="E102" s="13"/>
      <c r="F102" s="61"/>
      <c r="G102" s="51"/>
      <c r="H102" s="39"/>
      <c r="I102" s="32"/>
    </row>
    <row r="103" spans="2:9" s="3" customFormat="1" ht="12" customHeight="1" x14ac:dyDescent="0.25">
      <c r="B103" s="14"/>
      <c r="C103" s="11"/>
      <c r="D103" s="11"/>
      <c r="E103" s="11"/>
      <c r="F103" s="60"/>
      <c r="G103" s="16"/>
      <c r="H103" s="38"/>
      <c r="I103" s="32"/>
    </row>
    <row r="104" spans="2:9" s="3" customFormat="1" ht="8.4499999999999993" customHeight="1" x14ac:dyDescent="0.25">
      <c r="B104" s="12"/>
      <c r="C104" s="13"/>
      <c r="D104" s="13"/>
      <c r="E104" s="13"/>
      <c r="F104" s="61"/>
      <c r="G104" s="51"/>
      <c r="H104" s="39"/>
      <c r="I104" s="32"/>
    </row>
    <row r="105" spans="2:9" s="3" customFormat="1" ht="12" customHeight="1" x14ac:dyDescent="0.25">
      <c r="B105" s="14"/>
      <c r="C105" s="11"/>
      <c r="D105" s="11"/>
      <c r="E105" s="11"/>
      <c r="F105" s="60"/>
      <c r="G105" s="16"/>
      <c r="H105" s="38"/>
      <c r="I105" s="32"/>
    </row>
    <row r="106" spans="2:9" s="3" customFormat="1" ht="8.4499999999999993" customHeight="1" x14ac:dyDescent="0.25">
      <c r="B106" s="12"/>
      <c r="C106" s="13"/>
      <c r="D106" s="13"/>
      <c r="E106" s="13"/>
      <c r="F106" s="61"/>
      <c r="G106" s="51"/>
      <c r="H106" s="39"/>
      <c r="I106" s="32"/>
    </row>
    <row r="107" spans="2:9" s="3" customFormat="1" ht="12" customHeight="1" x14ac:dyDescent="0.25">
      <c r="B107" s="14"/>
      <c r="C107" s="11"/>
      <c r="D107" s="11"/>
      <c r="E107" s="11"/>
      <c r="F107" s="60"/>
      <c r="G107" s="16"/>
      <c r="H107" s="38"/>
      <c r="I107" s="32"/>
    </row>
    <row r="108" spans="2:9" s="3" customFormat="1" ht="8.4499999999999993" customHeight="1" x14ac:dyDescent="0.25">
      <c r="B108" s="12"/>
      <c r="C108" s="13"/>
      <c r="D108" s="13"/>
      <c r="E108" s="13"/>
      <c r="F108" s="61"/>
      <c r="G108" s="51"/>
      <c r="H108" s="39"/>
      <c r="I108" s="32"/>
    </row>
    <row r="109" spans="2:9" s="3" customFormat="1" ht="12" customHeight="1" x14ac:dyDescent="0.25">
      <c r="B109" s="14"/>
      <c r="C109" s="11"/>
      <c r="D109" s="11"/>
      <c r="E109" s="11"/>
      <c r="F109" s="60"/>
      <c r="G109" s="16"/>
      <c r="H109" s="38"/>
      <c r="I109" s="32"/>
    </row>
    <row r="110" spans="2:9" s="3" customFormat="1" ht="8.4499999999999993" customHeight="1" x14ac:dyDescent="0.25">
      <c r="B110" s="12"/>
      <c r="C110" s="13"/>
      <c r="D110" s="13"/>
      <c r="E110" s="13"/>
      <c r="F110" s="61"/>
      <c r="G110" s="51"/>
      <c r="H110" s="39"/>
      <c r="I110" s="32"/>
    </row>
    <row r="111" spans="2:9" s="3" customFormat="1" ht="12" customHeight="1" x14ac:dyDescent="0.25">
      <c r="B111" s="14"/>
      <c r="C111" s="11"/>
      <c r="D111" s="11"/>
      <c r="E111" s="11"/>
      <c r="F111" s="60"/>
      <c r="G111" s="16"/>
      <c r="H111" s="38"/>
      <c r="I111" s="32"/>
    </row>
    <row r="112" spans="2:9" s="3" customFormat="1" ht="8.4499999999999993" customHeight="1" x14ac:dyDescent="0.25">
      <c r="B112" s="12"/>
      <c r="C112" s="13"/>
      <c r="D112" s="13"/>
      <c r="E112" s="13"/>
      <c r="F112" s="61"/>
      <c r="G112" s="51"/>
      <c r="H112" s="39"/>
      <c r="I112" s="32"/>
    </row>
    <row r="113" spans="1:9" s="3" customFormat="1" ht="12" customHeight="1" x14ac:dyDescent="0.25">
      <c r="B113" s="14"/>
      <c r="C113" s="11"/>
      <c r="D113" s="11"/>
      <c r="E113" s="11"/>
      <c r="F113" s="60"/>
      <c r="G113" s="16"/>
      <c r="H113" s="38"/>
      <c r="I113" s="32"/>
    </row>
    <row r="114" spans="1:9" s="3" customFormat="1" ht="8.4499999999999993" customHeight="1" x14ac:dyDescent="0.25">
      <c r="B114" s="12"/>
      <c r="C114" s="13"/>
      <c r="D114" s="13"/>
      <c r="E114" s="13"/>
      <c r="F114" s="61"/>
      <c r="G114" s="51"/>
      <c r="H114" s="39"/>
      <c r="I114" s="32"/>
    </row>
    <row r="115" spans="1:9" s="3" customFormat="1" ht="12" customHeight="1" x14ac:dyDescent="0.25">
      <c r="B115" s="14"/>
      <c r="C115" s="11"/>
      <c r="D115" s="11"/>
      <c r="E115" s="11"/>
      <c r="F115" s="60"/>
      <c r="G115" s="16"/>
      <c r="H115" s="38"/>
      <c r="I115" s="32"/>
    </row>
    <row r="116" spans="1:9" s="3" customFormat="1" ht="8.4499999999999993" customHeight="1" x14ac:dyDescent="0.25">
      <c r="B116" s="12"/>
      <c r="C116" s="13"/>
      <c r="D116" s="13"/>
      <c r="E116" s="13"/>
      <c r="F116" s="61"/>
      <c r="G116" s="51"/>
      <c r="H116" s="39"/>
      <c r="I116" s="32"/>
    </row>
    <row r="117" spans="1:9" s="3" customFormat="1" ht="12" customHeight="1" x14ac:dyDescent="0.25">
      <c r="B117" s="14"/>
      <c r="C117" s="11"/>
      <c r="D117" s="11"/>
      <c r="E117" s="11"/>
      <c r="F117" s="60"/>
      <c r="G117" s="16"/>
      <c r="H117" s="38"/>
      <c r="I117" s="32"/>
    </row>
    <row r="118" spans="1:9" s="3" customFormat="1" ht="8.4499999999999993" customHeight="1" x14ac:dyDescent="0.25">
      <c r="B118" s="12"/>
      <c r="C118" s="13"/>
      <c r="D118" s="13"/>
      <c r="E118" s="13"/>
      <c r="F118" s="61"/>
      <c r="G118" s="51"/>
      <c r="H118" s="39"/>
      <c r="I118" s="32"/>
    </row>
    <row r="119" spans="1:9" s="3" customFormat="1" ht="12" customHeight="1" x14ac:dyDescent="0.25">
      <c r="B119" s="14"/>
      <c r="C119" s="11"/>
      <c r="D119" s="11"/>
      <c r="E119" s="11"/>
      <c r="F119" s="60"/>
      <c r="G119" s="16"/>
      <c r="H119" s="38"/>
      <c r="I119" s="32"/>
    </row>
    <row r="120" spans="1:9" s="3" customFormat="1" ht="8.4499999999999993" customHeight="1" x14ac:dyDescent="0.25">
      <c r="B120" s="12"/>
      <c r="C120" s="13"/>
      <c r="D120" s="13"/>
      <c r="E120" s="13"/>
      <c r="F120" s="61"/>
      <c r="G120" s="51"/>
      <c r="H120" s="39"/>
      <c r="I120" s="32"/>
    </row>
    <row r="121" spans="1:9" s="3" customFormat="1" ht="12" customHeight="1" x14ac:dyDescent="0.25">
      <c r="B121" s="14"/>
      <c r="C121" s="11"/>
      <c r="D121" s="11"/>
      <c r="E121" s="11"/>
      <c r="F121" s="60"/>
      <c r="G121" s="16"/>
      <c r="H121" s="38"/>
      <c r="I121" s="32"/>
    </row>
    <row r="122" spans="1:9" s="3" customFormat="1" ht="8.4499999999999993" customHeight="1" x14ac:dyDescent="0.25">
      <c r="B122" s="12"/>
      <c r="C122" s="13"/>
      <c r="D122" s="13"/>
      <c r="E122" s="13"/>
      <c r="F122" s="61"/>
      <c r="G122" s="51"/>
      <c r="H122" s="39"/>
      <c r="I122" s="32"/>
    </row>
    <row r="123" spans="1:9" s="3" customFormat="1" ht="12" customHeight="1" x14ac:dyDescent="0.25">
      <c r="B123" s="14"/>
      <c r="C123" s="11"/>
      <c r="D123" s="11"/>
      <c r="E123" s="11"/>
      <c r="F123" s="60"/>
      <c r="G123" s="16"/>
      <c r="H123" s="38"/>
      <c r="I123" s="32"/>
    </row>
    <row r="124" spans="1:9" s="3" customFormat="1" ht="8.4499999999999993" customHeight="1" x14ac:dyDescent="0.25">
      <c r="B124" s="12"/>
      <c r="C124" s="13"/>
      <c r="D124" s="13"/>
      <c r="E124" s="13"/>
      <c r="F124" s="61"/>
      <c r="G124" s="51"/>
      <c r="H124" s="39"/>
      <c r="I124" s="32"/>
    </row>
    <row r="125" spans="1:9" s="3" customFormat="1" ht="12" customHeight="1" x14ac:dyDescent="0.25">
      <c r="A125" s="3">
        <v>360</v>
      </c>
      <c r="B125" s="14"/>
      <c r="C125" s="11"/>
      <c r="D125" s="11"/>
      <c r="E125" s="11"/>
      <c r="F125" s="60"/>
      <c r="G125" s="16"/>
      <c r="H125" s="38"/>
      <c r="I125" s="32"/>
    </row>
    <row r="126" spans="1:9" s="3" customFormat="1" ht="8.4499999999999993" customHeight="1" x14ac:dyDescent="0.25">
      <c r="B126" s="12"/>
      <c r="C126" s="13"/>
      <c r="D126" s="13"/>
      <c r="E126" s="13"/>
      <c r="F126" s="61"/>
      <c r="G126" s="51"/>
      <c r="H126" s="39"/>
      <c r="I126" s="32"/>
    </row>
    <row r="127" spans="1:9" s="3" customFormat="1" ht="12" customHeight="1" x14ac:dyDescent="0.25">
      <c r="A127" s="3">
        <v>361</v>
      </c>
      <c r="B127" s="14"/>
      <c r="C127" s="11"/>
      <c r="D127" s="11"/>
      <c r="E127" s="11"/>
      <c r="F127" s="60"/>
      <c r="G127" s="16"/>
      <c r="H127" s="38"/>
      <c r="I127" s="32"/>
    </row>
    <row r="128" spans="1:9" s="3" customFormat="1" ht="8.4499999999999993" customHeight="1" x14ac:dyDescent="0.25">
      <c r="B128" s="12"/>
      <c r="C128" s="13"/>
      <c r="D128" s="13"/>
      <c r="E128" s="13"/>
      <c r="F128" s="61"/>
      <c r="G128" s="51"/>
      <c r="H128" s="39"/>
      <c r="I128" s="32"/>
    </row>
    <row r="129" spans="1:9" s="3" customFormat="1" ht="12" customHeight="1" x14ac:dyDescent="0.25">
      <c r="A129" s="3">
        <v>362</v>
      </c>
      <c r="B129" s="14"/>
      <c r="C129" s="11"/>
      <c r="D129" s="11"/>
      <c r="E129" s="11"/>
      <c r="F129" s="60"/>
      <c r="G129" s="16"/>
      <c r="H129" s="38"/>
      <c r="I129" s="32"/>
    </row>
    <row r="130" spans="1:9" s="3" customFormat="1" ht="8.4499999999999993" customHeight="1" x14ac:dyDescent="0.25">
      <c r="B130" s="12"/>
      <c r="C130" s="13"/>
      <c r="D130" s="13"/>
      <c r="E130" s="13"/>
      <c r="F130" s="61"/>
      <c r="G130" s="51"/>
      <c r="H130" s="39"/>
      <c r="I130" s="32"/>
    </row>
    <row r="131" spans="1:9" s="3" customFormat="1" ht="12" customHeight="1" x14ac:dyDescent="0.25">
      <c r="A131" s="3">
        <v>363</v>
      </c>
      <c r="B131" s="14"/>
      <c r="C131" s="11"/>
      <c r="D131" s="11"/>
      <c r="E131" s="11"/>
      <c r="F131" s="60"/>
      <c r="G131" s="16"/>
      <c r="H131" s="38"/>
      <c r="I131" s="32"/>
    </row>
    <row r="132" spans="1:9" s="3" customFormat="1" ht="8.4499999999999993" customHeight="1" x14ac:dyDescent="0.25">
      <c r="B132" s="12"/>
      <c r="C132" s="13"/>
      <c r="D132" s="13"/>
      <c r="E132" s="13"/>
      <c r="F132" s="61"/>
      <c r="G132" s="51"/>
      <c r="H132" s="39"/>
      <c r="I132" s="32"/>
    </row>
    <row r="133" spans="1:9" s="3" customFormat="1" ht="12" customHeight="1" x14ac:dyDescent="0.25">
      <c r="B133" s="14"/>
      <c r="C133" s="11"/>
      <c r="D133" s="11"/>
      <c r="E133" s="11"/>
      <c r="F133" s="60"/>
      <c r="G133" s="16"/>
      <c r="H133" s="38"/>
      <c r="I133" s="32"/>
    </row>
    <row r="134" spans="1:9" s="3" customFormat="1" ht="8.4499999999999993" customHeight="1" x14ac:dyDescent="0.25">
      <c r="B134" s="12"/>
      <c r="C134" s="13"/>
      <c r="D134" s="13"/>
      <c r="E134" s="13"/>
      <c r="F134" s="61"/>
      <c r="G134" s="51"/>
      <c r="H134" s="39"/>
      <c r="I134" s="32"/>
    </row>
    <row r="135" spans="1:9" s="3" customFormat="1" ht="12" customHeight="1" x14ac:dyDescent="0.25">
      <c r="B135" s="14"/>
      <c r="C135" s="11"/>
      <c r="D135" s="11"/>
      <c r="E135" s="11"/>
      <c r="F135" s="60"/>
      <c r="G135" s="16"/>
      <c r="H135" s="38"/>
      <c r="I135" s="32"/>
    </row>
    <row r="136" spans="1:9" s="3" customFormat="1" ht="8.4499999999999993" customHeight="1" x14ac:dyDescent="0.25">
      <c r="B136" s="12"/>
      <c r="C136" s="13"/>
      <c r="D136" s="13"/>
      <c r="E136" s="13"/>
      <c r="F136" s="61"/>
      <c r="G136" s="51"/>
      <c r="H136" s="39"/>
      <c r="I136" s="32"/>
    </row>
    <row r="137" spans="1:9" s="4" customFormat="1" ht="20.100000000000001" customHeight="1" x14ac:dyDescent="0.25">
      <c r="B137" s="17" t="s">
        <v>52</v>
      </c>
      <c r="C137" s="18"/>
      <c r="D137" s="18"/>
      <c r="E137" s="18"/>
      <c r="F137" s="62"/>
      <c r="G137" s="29"/>
      <c r="H137" s="19">
        <f>SUM(H71:H133)</f>
        <v>1140200</v>
      </c>
      <c r="I137" s="33"/>
    </row>
    <row r="138" spans="1:9" s="1" customFormat="1" ht="26.25" customHeight="1" x14ac:dyDescent="0.25">
      <c r="B138" s="74" t="s">
        <v>456</v>
      </c>
      <c r="C138" s="74"/>
      <c r="D138" s="74"/>
      <c r="E138" s="74"/>
      <c r="F138" s="74"/>
      <c r="G138" s="74"/>
      <c r="H138" s="74"/>
      <c r="I138" s="30"/>
    </row>
    <row r="139" spans="1:9" s="2" customFormat="1" ht="12" x14ac:dyDescent="0.25">
      <c r="D139" s="46"/>
      <c r="F139" s="58"/>
      <c r="G139" s="49"/>
      <c r="H139" s="36" t="s">
        <v>89</v>
      </c>
      <c r="I139" s="31"/>
    </row>
    <row r="140" spans="1:9" s="3" customFormat="1" ht="27.4" customHeight="1" x14ac:dyDescent="0.25">
      <c r="B140" s="7" t="s">
        <v>1</v>
      </c>
      <c r="C140" s="7" t="s">
        <v>2</v>
      </c>
      <c r="D140" s="7" t="s">
        <v>3</v>
      </c>
      <c r="E140" s="7" t="s">
        <v>4</v>
      </c>
      <c r="F140" s="59" t="s">
        <v>5</v>
      </c>
      <c r="G140" s="50" t="s">
        <v>6</v>
      </c>
      <c r="H140" s="37" t="s">
        <v>7</v>
      </c>
      <c r="I140" s="32"/>
    </row>
    <row r="141" spans="1:9" s="3" customFormat="1" ht="12" customHeight="1" x14ac:dyDescent="0.25">
      <c r="A141" s="3">
        <v>398</v>
      </c>
      <c r="B141" s="8" t="s">
        <v>77</v>
      </c>
      <c r="C141" s="11"/>
      <c r="D141" s="10" t="s">
        <v>90</v>
      </c>
      <c r="E141" s="11"/>
      <c r="F141" s="60"/>
      <c r="G141" s="16"/>
      <c r="H141" s="38"/>
      <c r="I141" s="32"/>
    </row>
    <row r="142" spans="1:9" s="3" customFormat="1" ht="8.4499999999999993" customHeight="1" x14ac:dyDescent="0.25">
      <c r="B142" s="12"/>
      <c r="C142" s="13"/>
      <c r="D142" s="13"/>
      <c r="E142" s="13"/>
      <c r="F142" s="61"/>
      <c r="G142" s="51"/>
      <c r="H142" s="39"/>
      <c r="I142" s="32"/>
    </row>
    <row r="143" spans="1:9" s="3" customFormat="1" ht="24" customHeight="1" x14ac:dyDescent="0.25">
      <c r="A143" s="3">
        <v>655</v>
      </c>
      <c r="B143" s="8" t="s">
        <v>91</v>
      </c>
      <c r="C143" s="9" t="s">
        <v>92</v>
      </c>
      <c r="D143" s="10" t="s">
        <v>93</v>
      </c>
      <c r="E143" s="11"/>
      <c r="F143" s="60"/>
      <c r="G143" s="16"/>
      <c r="H143" s="38"/>
      <c r="I143" s="32"/>
    </row>
    <row r="144" spans="1:9" s="3" customFormat="1" ht="8.4499999999999993" customHeight="1" x14ac:dyDescent="0.25">
      <c r="B144" s="12"/>
      <c r="C144" s="13"/>
      <c r="D144" s="13"/>
      <c r="E144" s="13"/>
      <c r="F144" s="61"/>
      <c r="G144" s="51"/>
      <c r="H144" s="39"/>
      <c r="I144" s="32"/>
    </row>
    <row r="145" spans="1:9" s="3" customFormat="1" ht="12" customHeight="1" x14ac:dyDescent="0.25">
      <c r="A145" s="3">
        <v>657</v>
      </c>
      <c r="B145" s="14"/>
      <c r="C145" s="9" t="s">
        <v>94</v>
      </c>
      <c r="D145" s="10" t="s">
        <v>95</v>
      </c>
      <c r="E145" s="11"/>
      <c r="F145" s="60"/>
      <c r="G145" s="16"/>
      <c r="H145" s="38"/>
      <c r="I145" s="32"/>
    </row>
    <row r="146" spans="1:9" s="3" customFormat="1" ht="8.4499999999999993" customHeight="1" x14ac:dyDescent="0.25">
      <c r="B146" s="12"/>
      <c r="C146" s="13"/>
      <c r="D146" s="13"/>
      <c r="E146" s="13"/>
      <c r="F146" s="61"/>
      <c r="G146" s="51"/>
      <c r="H146" s="39"/>
      <c r="I146" s="32"/>
    </row>
    <row r="147" spans="1:9" s="3" customFormat="1" ht="36" customHeight="1" x14ac:dyDescent="0.25">
      <c r="A147" s="3">
        <v>658</v>
      </c>
      <c r="B147" s="8" t="s">
        <v>96</v>
      </c>
      <c r="C147" s="11"/>
      <c r="D147" s="10" t="s">
        <v>97</v>
      </c>
      <c r="E147" s="15" t="s">
        <v>98</v>
      </c>
      <c r="F147" s="60">
        <v>16.100000000000001</v>
      </c>
      <c r="G147" s="16">
        <v>15000</v>
      </c>
      <c r="H147" s="16">
        <f>F147*G147</f>
        <v>241500</v>
      </c>
      <c r="I147" s="32"/>
    </row>
    <row r="148" spans="1:9" s="3" customFormat="1" ht="8.4499999999999993" customHeight="1" x14ac:dyDescent="0.25">
      <c r="B148" s="12"/>
      <c r="C148" s="13"/>
      <c r="D148" s="13"/>
      <c r="E148" s="13"/>
      <c r="F148" s="61"/>
      <c r="G148" s="51"/>
      <c r="H148" s="39"/>
      <c r="I148" s="32"/>
    </row>
    <row r="149" spans="1:9" s="3" customFormat="1" ht="12" customHeight="1" x14ac:dyDescent="0.25">
      <c r="A149" s="3">
        <v>660</v>
      </c>
      <c r="B149" s="14"/>
      <c r="C149" s="9" t="s">
        <v>99</v>
      </c>
      <c r="D149" s="10" t="s">
        <v>100</v>
      </c>
      <c r="E149" s="11"/>
      <c r="F149" s="60"/>
      <c r="G149" s="16"/>
      <c r="H149" s="38"/>
      <c r="I149" s="32"/>
    </row>
    <row r="150" spans="1:9" s="3" customFormat="1" ht="8.4499999999999993" customHeight="1" x14ac:dyDescent="0.25">
      <c r="B150" s="12"/>
      <c r="C150" s="13"/>
      <c r="D150" s="13"/>
      <c r="E150" s="13"/>
      <c r="F150" s="61"/>
      <c r="G150" s="51"/>
      <c r="H150" s="39"/>
      <c r="I150" s="32"/>
    </row>
    <row r="151" spans="1:9" s="3" customFormat="1" ht="12" customHeight="1" x14ac:dyDescent="0.25">
      <c r="A151" s="3">
        <v>662</v>
      </c>
      <c r="B151" s="8" t="s">
        <v>438</v>
      </c>
      <c r="C151" s="11"/>
      <c r="D151" s="10" t="s">
        <v>102</v>
      </c>
      <c r="E151" s="15" t="s">
        <v>103</v>
      </c>
      <c r="F151" s="60"/>
      <c r="G151" s="16"/>
      <c r="H151" s="38"/>
      <c r="I151" s="32"/>
    </row>
    <row r="152" spans="1:9" s="3" customFormat="1" ht="8.4499999999999993" customHeight="1" x14ac:dyDescent="0.25">
      <c r="B152" s="12"/>
      <c r="C152" s="13"/>
      <c r="D152" s="13"/>
      <c r="E152" s="13"/>
      <c r="F152" s="61"/>
      <c r="G152" s="51"/>
      <c r="H152" s="39"/>
      <c r="I152" s="32"/>
    </row>
    <row r="153" spans="1:9" s="3" customFormat="1" ht="12" customHeight="1" x14ac:dyDescent="0.25">
      <c r="A153" s="3">
        <v>663</v>
      </c>
      <c r="B153" s="8" t="s">
        <v>101</v>
      </c>
      <c r="C153" s="11"/>
      <c r="D153" s="10" t="s">
        <v>105</v>
      </c>
      <c r="E153" s="15" t="s">
        <v>103</v>
      </c>
      <c r="F153" s="60"/>
      <c r="G153" s="16"/>
      <c r="H153" s="38"/>
      <c r="I153" s="32"/>
    </row>
    <row r="154" spans="1:9" s="3" customFormat="1" ht="8.4499999999999993" customHeight="1" x14ac:dyDescent="0.25">
      <c r="B154" s="12"/>
      <c r="C154" s="13"/>
      <c r="D154" s="13"/>
      <c r="E154" s="13"/>
      <c r="F154" s="61"/>
      <c r="G154" s="51"/>
      <c r="H154" s="39"/>
      <c r="I154" s="32"/>
    </row>
    <row r="155" spans="1:9" s="3" customFormat="1" ht="12" customHeight="1" x14ac:dyDescent="0.25">
      <c r="A155" s="3">
        <v>664</v>
      </c>
      <c r="B155" s="8" t="s">
        <v>104</v>
      </c>
      <c r="C155" s="11"/>
      <c r="D155" s="10" t="s">
        <v>107</v>
      </c>
      <c r="E155" s="15" t="s">
        <v>103</v>
      </c>
      <c r="F155" s="60"/>
      <c r="G155" s="16"/>
      <c r="H155" s="38"/>
      <c r="I155" s="32"/>
    </row>
    <row r="156" spans="1:9" s="3" customFormat="1" ht="8.4499999999999993" customHeight="1" x14ac:dyDescent="0.25">
      <c r="B156" s="12"/>
      <c r="C156" s="13"/>
      <c r="D156" s="13"/>
      <c r="E156" s="13"/>
      <c r="F156" s="61"/>
      <c r="G156" s="51"/>
      <c r="H156" s="39"/>
      <c r="I156" s="32"/>
    </row>
    <row r="157" spans="1:9" s="3" customFormat="1" ht="24" customHeight="1" x14ac:dyDescent="0.25">
      <c r="A157" s="3">
        <v>666</v>
      </c>
      <c r="B157" s="8" t="s">
        <v>106</v>
      </c>
      <c r="C157" s="11"/>
      <c r="D157" s="10" t="s">
        <v>109</v>
      </c>
      <c r="E157" s="15" t="s">
        <v>110</v>
      </c>
      <c r="F157" s="60">
        <v>1</v>
      </c>
      <c r="G157" s="16">
        <v>100000</v>
      </c>
      <c r="H157" s="16">
        <f>F157*G157</f>
        <v>100000</v>
      </c>
      <c r="I157" s="32"/>
    </row>
    <row r="158" spans="1:9" s="3" customFormat="1" ht="8.4499999999999993" customHeight="1" x14ac:dyDescent="0.25">
      <c r="B158" s="12"/>
      <c r="C158" s="13"/>
      <c r="D158" s="13"/>
      <c r="E158" s="13"/>
      <c r="F158" s="61"/>
      <c r="G158" s="51"/>
      <c r="H158" s="39"/>
      <c r="I158" s="32"/>
    </row>
    <row r="159" spans="1:9" s="3" customFormat="1" ht="24" customHeight="1" x14ac:dyDescent="0.25">
      <c r="A159" s="3">
        <v>668</v>
      </c>
      <c r="B159" s="14"/>
      <c r="C159" s="9" t="s">
        <v>111</v>
      </c>
      <c r="D159" s="10" t="s">
        <v>112</v>
      </c>
      <c r="E159" s="11"/>
      <c r="F159" s="60"/>
      <c r="G159" s="16"/>
      <c r="H159" s="38"/>
      <c r="I159" s="32"/>
    </row>
    <row r="160" spans="1:9" s="3" customFormat="1" ht="8.4499999999999993" customHeight="1" x14ac:dyDescent="0.25">
      <c r="B160" s="12"/>
      <c r="C160" s="13"/>
      <c r="D160" s="13"/>
      <c r="E160" s="13"/>
      <c r="F160" s="61"/>
      <c r="G160" s="51"/>
      <c r="H160" s="39"/>
      <c r="I160" s="32"/>
    </row>
    <row r="161" spans="1:9" s="3" customFormat="1" ht="96" customHeight="1" x14ac:dyDescent="0.25">
      <c r="A161" s="3">
        <v>670</v>
      </c>
      <c r="B161" s="14"/>
      <c r="C161" s="11"/>
      <c r="D161" s="9" t="s">
        <v>113</v>
      </c>
      <c r="E161" s="11"/>
      <c r="F161" s="60"/>
      <c r="G161" s="16"/>
      <c r="H161" s="38"/>
      <c r="I161" s="32"/>
    </row>
    <row r="162" spans="1:9" s="3" customFormat="1" ht="8.4499999999999993" customHeight="1" x14ac:dyDescent="0.25">
      <c r="B162" s="12"/>
      <c r="C162" s="13"/>
      <c r="D162" s="13"/>
      <c r="E162" s="13"/>
      <c r="F162" s="61"/>
      <c r="G162" s="51"/>
      <c r="H162" s="39"/>
      <c r="I162" s="32"/>
    </row>
    <row r="163" spans="1:9" s="3" customFormat="1" ht="24" customHeight="1" x14ac:dyDescent="0.25">
      <c r="A163" s="3">
        <v>672</v>
      </c>
      <c r="B163" s="14"/>
      <c r="C163" s="9" t="s">
        <v>114</v>
      </c>
      <c r="D163" s="10" t="s">
        <v>115</v>
      </c>
      <c r="E163" s="11"/>
      <c r="F163" s="60"/>
      <c r="G163" s="16"/>
      <c r="H163" s="38"/>
      <c r="I163" s="32"/>
    </row>
    <row r="164" spans="1:9" s="3" customFormat="1" ht="8.4499999999999993" customHeight="1" x14ac:dyDescent="0.25">
      <c r="B164" s="12"/>
      <c r="C164" s="13"/>
      <c r="D164" s="13"/>
      <c r="E164" s="13"/>
      <c r="F164" s="61"/>
      <c r="G164" s="51"/>
      <c r="H164" s="39"/>
      <c r="I164" s="32"/>
    </row>
    <row r="165" spans="1:9" s="3" customFormat="1" ht="12" customHeight="1" x14ac:dyDescent="0.25">
      <c r="A165" s="3">
        <v>674</v>
      </c>
      <c r="B165" s="8" t="s">
        <v>108</v>
      </c>
      <c r="C165" s="11"/>
      <c r="D165" s="10" t="s">
        <v>117</v>
      </c>
      <c r="E165" s="15" t="s">
        <v>118</v>
      </c>
      <c r="F165" s="66" t="s">
        <v>448</v>
      </c>
      <c r="G165" s="16">
        <v>156.78</v>
      </c>
      <c r="H165" s="16" t="s">
        <v>449</v>
      </c>
      <c r="I165" s="32"/>
    </row>
    <row r="166" spans="1:9" s="3" customFormat="1" ht="8.4499999999999993" customHeight="1" x14ac:dyDescent="0.25">
      <c r="B166" s="12"/>
      <c r="C166" s="13"/>
      <c r="D166" s="13"/>
      <c r="E166" s="13"/>
      <c r="F166" s="61"/>
      <c r="G166" s="51"/>
      <c r="H166" s="39"/>
      <c r="I166" s="32"/>
    </row>
    <row r="167" spans="1:9" s="3" customFormat="1" ht="12" customHeight="1" x14ac:dyDescent="0.25">
      <c r="A167" s="3">
        <v>676</v>
      </c>
      <c r="B167" s="14"/>
      <c r="C167" s="11"/>
      <c r="D167" s="10" t="s">
        <v>119</v>
      </c>
      <c r="E167" s="11"/>
      <c r="F167" s="60"/>
      <c r="G167" s="16"/>
      <c r="H167" s="38"/>
      <c r="I167" s="32"/>
    </row>
    <row r="168" spans="1:9" s="3" customFormat="1" ht="8.4499999999999993" customHeight="1" x14ac:dyDescent="0.25">
      <c r="B168" s="12"/>
      <c r="C168" s="13"/>
      <c r="D168" s="13"/>
      <c r="E168" s="13"/>
      <c r="F168" s="61"/>
      <c r="G168" s="51"/>
      <c r="H168" s="39"/>
      <c r="I168" s="32"/>
    </row>
    <row r="169" spans="1:9" s="3" customFormat="1" ht="12" customHeight="1" x14ac:dyDescent="0.25">
      <c r="A169" s="3">
        <v>678</v>
      </c>
      <c r="B169" s="8" t="s">
        <v>116</v>
      </c>
      <c r="C169" s="11"/>
      <c r="D169" s="10" t="s">
        <v>454</v>
      </c>
      <c r="E169" s="15" t="s">
        <v>124</v>
      </c>
      <c r="F169" s="60">
        <v>1033.2</v>
      </c>
      <c r="G169" s="16">
        <v>600</v>
      </c>
      <c r="H169" s="16">
        <f>F169*G169</f>
        <v>619920</v>
      </c>
      <c r="I169" s="32"/>
    </row>
    <row r="170" spans="1:9" s="3" customFormat="1" ht="8.4499999999999993" customHeight="1" x14ac:dyDescent="0.25">
      <c r="B170" s="12"/>
      <c r="C170" s="13"/>
      <c r="D170" s="13"/>
      <c r="E170" s="13"/>
      <c r="F170" s="61"/>
      <c r="G170" s="51"/>
      <c r="H170" s="39"/>
      <c r="I170" s="32"/>
    </row>
    <row r="171" spans="1:9" s="3" customFormat="1" ht="12" customHeight="1" x14ac:dyDescent="0.25">
      <c r="A171" s="3">
        <v>679</v>
      </c>
      <c r="B171" s="8" t="s">
        <v>120</v>
      </c>
      <c r="C171" s="11"/>
      <c r="D171" s="10" t="s">
        <v>122</v>
      </c>
      <c r="E171" s="15" t="s">
        <v>124</v>
      </c>
      <c r="F171" s="60">
        <v>1030.8</v>
      </c>
      <c r="G171" s="16">
        <v>2050</v>
      </c>
      <c r="H171" s="16">
        <f>F171*G171</f>
        <v>2113140</v>
      </c>
      <c r="I171" s="32"/>
    </row>
    <row r="172" spans="1:9" s="3" customFormat="1" ht="8.4499999999999993" customHeight="1" x14ac:dyDescent="0.25">
      <c r="B172" s="12"/>
      <c r="C172" s="13"/>
      <c r="D172" s="13"/>
      <c r="E172" s="13"/>
      <c r="F172" s="61"/>
      <c r="G172" s="51"/>
      <c r="H172" s="39"/>
      <c r="I172" s="32"/>
    </row>
    <row r="173" spans="1:9" s="3" customFormat="1" ht="24" customHeight="1" x14ac:dyDescent="0.25">
      <c r="A173" s="3">
        <v>681</v>
      </c>
      <c r="B173" s="8" t="s">
        <v>121</v>
      </c>
      <c r="C173" s="11"/>
      <c r="D173" s="10" t="s">
        <v>123</v>
      </c>
      <c r="E173" s="15" t="s">
        <v>124</v>
      </c>
      <c r="F173" s="60"/>
      <c r="G173" s="16"/>
      <c r="H173" s="38"/>
      <c r="I173" s="32"/>
    </row>
    <row r="174" spans="1:9" s="3" customFormat="1" ht="8.4499999999999993" customHeight="1" x14ac:dyDescent="0.25">
      <c r="B174" s="12"/>
      <c r="C174" s="13"/>
      <c r="D174" s="13"/>
      <c r="E174" s="13"/>
      <c r="F174" s="61"/>
      <c r="G174" s="51"/>
      <c r="H174" s="39"/>
      <c r="I174" s="32"/>
    </row>
    <row r="175" spans="1:9" s="3" customFormat="1" ht="12" customHeight="1" x14ac:dyDescent="0.25">
      <c r="A175" s="3">
        <v>683</v>
      </c>
      <c r="B175" s="8" t="s">
        <v>441</v>
      </c>
      <c r="C175" s="9" t="s">
        <v>37</v>
      </c>
      <c r="D175" s="10" t="s">
        <v>126</v>
      </c>
      <c r="E175" s="11"/>
      <c r="F175" s="60"/>
      <c r="G175" s="16"/>
      <c r="H175" s="38"/>
      <c r="I175" s="32"/>
    </row>
    <row r="176" spans="1:9" s="3" customFormat="1" ht="8.4499999999999993" customHeight="1" x14ac:dyDescent="0.25">
      <c r="B176" s="12"/>
      <c r="C176" s="13"/>
      <c r="D176" s="13"/>
      <c r="E176" s="13"/>
      <c r="F176" s="61"/>
      <c r="G176" s="51"/>
      <c r="H176" s="39"/>
      <c r="I176" s="32"/>
    </row>
    <row r="177" spans="1:9" s="3" customFormat="1" ht="12" customHeight="1" x14ac:dyDescent="0.25">
      <c r="A177" s="3">
        <v>685</v>
      </c>
      <c r="B177" s="14"/>
      <c r="C177" s="9" t="s">
        <v>127</v>
      </c>
      <c r="D177" s="10" t="s">
        <v>128</v>
      </c>
      <c r="E177" s="11"/>
      <c r="F177" s="60"/>
      <c r="G177" s="16"/>
      <c r="H177" s="38"/>
      <c r="I177" s="32"/>
    </row>
    <row r="178" spans="1:9" s="3" customFormat="1" ht="8.4499999999999993" customHeight="1" x14ac:dyDescent="0.25">
      <c r="B178" s="12"/>
      <c r="C178" s="13"/>
      <c r="D178" s="13"/>
      <c r="E178" s="13"/>
      <c r="F178" s="61"/>
      <c r="G178" s="51"/>
      <c r="H178" s="39"/>
      <c r="I178" s="32"/>
    </row>
    <row r="179" spans="1:9" s="3" customFormat="1" ht="12" customHeight="1" x14ac:dyDescent="0.25">
      <c r="A179" s="3">
        <v>687</v>
      </c>
      <c r="B179" s="8" t="s">
        <v>125</v>
      </c>
      <c r="C179" s="9" t="s">
        <v>129</v>
      </c>
      <c r="D179" s="10" t="s">
        <v>130</v>
      </c>
      <c r="E179" s="15" t="s">
        <v>124</v>
      </c>
      <c r="F179" s="60"/>
      <c r="G179" s="16"/>
      <c r="H179" s="38"/>
      <c r="I179" s="32"/>
    </row>
    <row r="180" spans="1:9" s="3" customFormat="1" ht="8.4499999999999993" customHeight="1" x14ac:dyDescent="0.25">
      <c r="B180" s="12"/>
      <c r="C180" s="13"/>
      <c r="D180" s="13"/>
      <c r="E180" s="13"/>
      <c r="F180" s="61"/>
      <c r="G180" s="51"/>
      <c r="H180" s="39"/>
      <c r="I180" s="32"/>
    </row>
    <row r="181" spans="1:9" s="3" customFormat="1" ht="12" customHeight="1" x14ac:dyDescent="0.25">
      <c r="B181" s="8" t="s">
        <v>451</v>
      </c>
      <c r="C181" s="9" t="s">
        <v>452</v>
      </c>
      <c r="D181" s="10" t="s">
        <v>249</v>
      </c>
      <c r="E181" s="15" t="s">
        <v>124</v>
      </c>
      <c r="F181" s="66">
        <v>952.8</v>
      </c>
      <c r="G181" s="16">
        <v>95</v>
      </c>
      <c r="H181" s="16">
        <f>F181*G181</f>
        <v>90516</v>
      </c>
      <c r="I181" s="32"/>
    </row>
    <row r="182" spans="1:9" s="3" customFormat="1" ht="8.4499999999999993" customHeight="1" x14ac:dyDescent="0.25">
      <c r="B182" s="12"/>
      <c r="C182" s="13"/>
      <c r="D182" s="13"/>
      <c r="E182" s="13"/>
      <c r="F182" s="61"/>
      <c r="G182" s="51"/>
      <c r="H182" s="39"/>
      <c r="I182" s="32"/>
    </row>
    <row r="183" spans="1:9" s="3" customFormat="1" ht="24" customHeight="1" x14ac:dyDescent="0.25">
      <c r="A183" s="3">
        <v>688</v>
      </c>
      <c r="B183" s="14"/>
      <c r="C183" s="9" t="s">
        <v>131</v>
      </c>
      <c r="D183" s="10" t="s">
        <v>132</v>
      </c>
      <c r="E183" s="11"/>
      <c r="F183" s="60"/>
      <c r="G183" s="16"/>
      <c r="H183" s="38"/>
      <c r="I183" s="32"/>
    </row>
    <row r="184" spans="1:9" s="3" customFormat="1" ht="8.4499999999999993" customHeight="1" x14ac:dyDescent="0.25">
      <c r="B184" s="12"/>
      <c r="C184" s="13"/>
      <c r="D184" s="13"/>
      <c r="E184" s="13"/>
      <c r="F184" s="61"/>
      <c r="G184" s="51"/>
      <c r="H184" s="39"/>
      <c r="I184" s="32"/>
    </row>
    <row r="185" spans="1:9" s="3" customFormat="1" ht="12" customHeight="1" x14ac:dyDescent="0.25">
      <c r="B185" s="14"/>
      <c r="C185" s="11"/>
      <c r="D185" s="11"/>
      <c r="E185" s="11"/>
      <c r="F185" s="60"/>
      <c r="G185" s="16"/>
      <c r="H185" s="38"/>
      <c r="I185" s="32"/>
    </row>
    <row r="186" spans="1:9" s="3" customFormat="1" ht="8.4499999999999993" customHeight="1" x14ac:dyDescent="0.25">
      <c r="B186" s="12"/>
      <c r="C186" s="13"/>
      <c r="D186" s="13"/>
      <c r="E186" s="13"/>
      <c r="F186" s="61"/>
      <c r="G186" s="51"/>
      <c r="H186" s="39"/>
      <c r="I186" s="32"/>
    </row>
    <row r="187" spans="1:9" s="3" customFormat="1" ht="12" customHeight="1" x14ac:dyDescent="0.25">
      <c r="B187" s="14"/>
      <c r="C187" s="11"/>
      <c r="D187" s="11"/>
      <c r="E187" s="11"/>
      <c r="F187" s="60"/>
      <c r="G187" s="16"/>
      <c r="H187" s="38"/>
      <c r="I187" s="32"/>
    </row>
    <row r="188" spans="1:9" s="3" customFormat="1" ht="8.4499999999999993" customHeight="1" x14ac:dyDescent="0.25">
      <c r="B188" s="12"/>
      <c r="C188" s="13"/>
      <c r="D188" s="13"/>
      <c r="E188" s="13"/>
      <c r="F188" s="61"/>
      <c r="G188" s="51"/>
      <c r="H188" s="39"/>
      <c r="I188" s="32"/>
    </row>
    <row r="189" spans="1:9" s="3" customFormat="1" ht="12" customHeight="1" x14ac:dyDescent="0.25">
      <c r="B189" s="14"/>
      <c r="C189" s="11"/>
      <c r="D189" s="11"/>
      <c r="E189" s="11"/>
      <c r="F189" s="60"/>
      <c r="G189" s="16"/>
      <c r="H189" s="38"/>
      <c r="I189" s="32"/>
    </row>
    <row r="190" spans="1:9" s="3" customFormat="1" ht="9.75" customHeight="1" x14ac:dyDescent="0.25">
      <c r="B190" s="12"/>
      <c r="C190" s="13"/>
      <c r="D190" s="13"/>
      <c r="E190" s="13"/>
      <c r="F190" s="61"/>
      <c r="G190" s="51"/>
      <c r="H190" s="39"/>
      <c r="I190" s="32"/>
    </row>
    <row r="191" spans="1:9" s="3" customFormat="1" ht="12" customHeight="1" x14ac:dyDescent="0.25">
      <c r="B191" s="14"/>
      <c r="C191" s="11"/>
      <c r="D191" s="11"/>
      <c r="E191" s="11"/>
      <c r="F191" s="60"/>
      <c r="G191" s="16"/>
      <c r="H191" s="38"/>
      <c r="I191" s="32"/>
    </row>
    <row r="192" spans="1:9" s="3" customFormat="1" ht="8.4499999999999993" customHeight="1" x14ac:dyDescent="0.25">
      <c r="B192" s="12"/>
      <c r="C192" s="13"/>
      <c r="D192" s="13"/>
      <c r="E192" s="13"/>
      <c r="F192" s="61"/>
      <c r="G192" s="51"/>
      <c r="H192" s="39"/>
      <c r="I192" s="32"/>
    </row>
    <row r="193" spans="1:9" s="4" customFormat="1" ht="20.100000000000001" customHeight="1" x14ac:dyDescent="0.25">
      <c r="B193" s="17" t="s">
        <v>52</v>
      </c>
      <c r="C193" s="18"/>
      <c r="D193" s="18"/>
      <c r="E193" s="18"/>
      <c r="F193" s="62"/>
      <c r="G193" s="29"/>
      <c r="H193" s="19">
        <f>SUM(H141:H182)</f>
        <v>3165076</v>
      </c>
      <c r="I193" s="33"/>
    </row>
    <row r="194" spans="1:9" s="1" customFormat="1" ht="26.25" customHeight="1" x14ac:dyDescent="0.25">
      <c r="B194" s="74" t="s">
        <v>456</v>
      </c>
      <c r="C194" s="74"/>
      <c r="D194" s="74"/>
      <c r="E194" s="74"/>
      <c r="F194" s="74"/>
      <c r="G194" s="74"/>
      <c r="H194" s="74"/>
      <c r="I194" s="30"/>
    </row>
    <row r="195" spans="1:9" s="2" customFormat="1" ht="12" x14ac:dyDescent="0.25">
      <c r="D195" s="46"/>
      <c r="F195" s="58"/>
      <c r="G195" s="49"/>
      <c r="H195" s="36" t="s">
        <v>89</v>
      </c>
      <c r="I195" s="31"/>
    </row>
    <row r="196" spans="1:9" s="3" customFormat="1" ht="27.4" customHeight="1" x14ac:dyDescent="0.25">
      <c r="B196" s="7" t="s">
        <v>1</v>
      </c>
      <c r="C196" s="7" t="s">
        <v>2</v>
      </c>
      <c r="D196" s="7" t="s">
        <v>3</v>
      </c>
      <c r="E196" s="7" t="s">
        <v>4</v>
      </c>
      <c r="F196" s="59" t="s">
        <v>5</v>
      </c>
      <c r="G196" s="50" t="s">
        <v>6</v>
      </c>
      <c r="H196" s="37" t="s">
        <v>7</v>
      </c>
      <c r="I196" s="32"/>
    </row>
    <row r="197" spans="1:9" s="4" customFormat="1" ht="20.100000000000001" customHeight="1" x14ac:dyDescent="0.25">
      <c r="B197" s="17" t="s">
        <v>53</v>
      </c>
      <c r="C197" s="18"/>
      <c r="D197" s="18"/>
      <c r="E197" s="18"/>
      <c r="F197" s="62"/>
      <c r="G197" s="29"/>
      <c r="H197" s="19">
        <f>H193</f>
        <v>3165076</v>
      </c>
      <c r="I197" s="33"/>
    </row>
    <row r="198" spans="1:9" s="3" customFormat="1" ht="60" customHeight="1" x14ac:dyDescent="0.25">
      <c r="A198" s="3">
        <v>690</v>
      </c>
      <c r="B198" s="14"/>
      <c r="C198" s="11"/>
      <c r="D198" s="10" t="s">
        <v>133</v>
      </c>
      <c r="E198" s="11"/>
      <c r="F198" s="60"/>
      <c r="G198" s="16"/>
      <c r="H198" s="38"/>
      <c r="I198" s="32"/>
    </row>
    <row r="199" spans="1:9" s="3" customFormat="1" ht="8.4499999999999993" customHeight="1" x14ac:dyDescent="0.25">
      <c r="B199" s="12"/>
      <c r="C199" s="13"/>
      <c r="D199" s="13"/>
      <c r="E199" s="13"/>
      <c r="F199" s="61"/>
      <c r="G199" s="51"/>
      <c r="H199" s="39"/>
      <c r="I199" s="32"/>
    </row>
    <row r="200" spans="1:9" s="3" customFormat="1" ht="12" customHeight="1" x14ac:dyDescent="0.25">
      <c r="A200" s="3">
        <v>692</v>
      </c>
      <c r="B200" s="8" t="s">
        <v>134</v>
      </c>
      <c r="C200" s="9" t="s">
        <v>94</v>
      </c>
      <c r="D200" s="10" t="s">
        <v>135</v>
      </c>
      <c r="E200" s="15" t="s">
        <v>124</v>
      </c>
      <c r="F200" s="60">
        <f>641.8/2</f>
        <v>320.89999999999998</v>
      </c>
      <c r="G200" s="16">
        <v>80</v>
      </c>
      <c r="H200" s="16">
        <f>F200*G200</f>
        <v>25672</v>
      </c>
      <c r="I200" s="32"/>
    </row>
    <row r="201" spans="1:9" s="3" customFormat="1" ht="8.4499999999999993" customHeight="1" x14ac:dyDescent="0.25">
      <c r="B201" s="12"/>
      <c r="C201" s="13"/>
      <c r="D201" s="13"/>
      <c r="E201" s="13"/>
      <c r="F201" s="61"/>
      <c r="G201" s="51"/>
      <c r="H201" s="39"/>
      <c r="I201" s="32"/>
    </row>
    <row r="202" spans="1:9" s="3" customFormat="1" ht="12" customHeight="1" x14ac:dyDescent="0.25">
      <c r="A202" s="3">
        <v>693</v>
      </c>
      <c r="B202" s="8" t="s">
        <v>136</v>
      </c>
      <c r="C202" s="9" t="s">
        <v>94</v>
      </c>
      <c r="D202" s="10" t="s">
        <v>137</v>
      </c>
      <c r="E202" s="15" t="s">
        <v>124</v>
      </c>
      <c r="F202" s="60">
        <f>444/2</f>
        <v>222</v>
      </c>
      <c r="G202" s="16">
        <v>80</v>
      </c>
      <c r="H202" s="16">
        <f>F202*G202</f>
        <v>17760</v>
      </c>
      <c r="I202" s="32"/>
    </row>
    <row r="203" spans="1:9" s="3" customFormat="1" ht="8.4499999999999993" customHeight="1" x14ac:dyDescent="0.25">
      <c r="B203" s="12"/>
      <c r="C203" s="13"/>
      <c r="D203" s="13"/>
      <c r="E203" s="13"/>
      <c r="F203" s="61"/>
      <c r="G203" s="51"/>
      <c r="H203" s="39"/>
      <c r="I203" s="32"/>
    </row>
    <row r="204" spans="1:9" s="3" customFormat="1" ht="24" customHeight="1" x14ac:dyDescent="0.25">
      <c r="A204" s="3">
        <v>696</v>
      </c>
      <c r="B204" s="8" t="s">
        <v>138</v>
      </c>
      <c r="C204" s="9" t="s">
        <v>139</v>
      </c>
      <c r="D204" s="10" t="s">
        <v>140</v>
      </c>
      <c r="E204" s="11"/>
      <c r="F204" s="60"/>
      <c r="G204" s="16"/>
      <c r="H204" s="38"/>
      <c r="I204" s="32"/>
    </row>
    <row r="205" spans="1:9" s="3" customFormat="1" ht="8.4499999999999993" customHeight="1" x14ac:dyDescent="0.25">
      <c r="B205" s="12"/>
      <c r="C205" s="13"/>
      <c r="D205" s="13"/>
      <c r="E205" s="13"/>
      <c r="F205" s="61"/>
      <c r="G205" s="51"/>
      <c r="H205" s="39"/>
      <c r="I205" s="32"/>
    </row>
    <row r="206" spans="1:9" s="3" customFormat="1" ht="12" customHeight="1" x14ac:dyDescent="0.25">
      <c r="A206" s="3">
        <v>698</v>
      </c>
      <c r="B206" s="14"/>
      <c r="C206" s="9" t="s">
        <v>141</v>
      </c>
      <c r="D206" s="10" t="s">
        <v>142</v>
      </c>
      <c r="E206" s="11"/>
      <c r="F206" s="60"/>
      <c r="G206" s="16"/>
      <c r="H206" s="38"/>
      <c r="I206" s="32"/>
    </row>
    <row r="207" spans="1:9" s="3" customFormat="1" ht="8.4499999999999993" customHeight="1" x14ac:dyDescent="0.25">
      <c r="B207" s="12"/>
      <c r="C207" s="13"/>
      <c r="D207" s="13"/>
      <c r="E207" s="13"/>
      <c r="F207" s="61"/>
      <c r="G207" s="51"/>
      <c r="H207" s="39"/>
      <c r="I207" s="32"/>
    </row>
    <row r="208" spans="1:9" s="3" customFormat="1" ht="12" customHeight="1" x14ac:dyDescent="0.25">
      <c r="A208" s="3">
        <v>500</v>
      </c>
      <c r="B208" s="8" t="s">
        <v>143</v>
      </c>
      <c r="C208" s="11"/>
      <c r="D208" s="10" t="s">
        <v>144</v>
      </c>
      <c r="E208" s="15" t="s">
        <v>124</v>
      </c>
      <c r="F208" s="60">
        <f>F200</f>
        <v>320.89999999999998</v>
      </c>
      <c r="G208" s="16">
        <v>105</v>
      </c>
      <c r="H208" s="16">
        <f>F208*G208</f>
        <v>33694.5</v>
      </c>
      <c r="I208" s="32"/>
    </row>
    <row r="209" spans="1:9" s="3" customFormat="1" ht="8.4499999999999993" customHeight="1" x14ac:dyDescent="0.25">
      <c r="B209" s="12"/>
      <c r="C209" s="13"/>
      <c r="D209" s="13"/>
      <c r="E209" s="13"/>
      <c r="F209" s="61"/>
      <c r="G209" s="51"/>
      <c r="H209" s="39"/>
      <c r="I209" s="32"/>
    </row>
    <row r="210" spans="1:9" s="3" customFormat="1" ht="12" customHeight="1" x14ac:dyDescent="0.25">
      <c r="A210" s="3">
        <v>501</v>
      </c>
      <c r="B210" s="8" t="s">
        <v>145</v>
      </c>
      <c r="C210" s="11"/>
      <c r="D210" s="10" t="s">
        <v>146</v>
      </c>
      <c r="E210" s="15" t="s">
        <v>124</v>
      </c>
      <c r="F210" s="60">
        <f>F202</f>
        <v>222</v>
      </c>
      <c r="G210" s="16">
        <v>105</v>
      </c>
      <c r="H210" s="16">
        <f>F210*G210</f>
        <v>23310</v>
      </c>
      <c r="I210" s="32"/>
    </row>
    <row r="211" spans="1:9" s="3" customFormat="1" ht="8.4499999999999993" customHeight="1" x14ac:dyDescent="0.25">
      <c r="B211" s="12"/>
      <c r="C211" s="13"/>
      <c r="D211" s="13"/>
      <c r="E211" s="13"/>
      <c r="F211" s="61"/>
      <c r="G211" s="51"/>
      <c r="H211" s="39"/>
      <c r="I211" s="32"/>
    </row>
    <row r="212" spans="1:9" s="3" customFormat="1" ht="60" customHeight="1" x14ac:dyDescent="0.25">
      <c r="A212" s="3">
        <v>502</v>
      </c>
      <c r="B212" s="14"/>
      <c r="C212" s="11"/>
      <c r="D212" s="10" t="s">
        <v>147</v>
      </c>
      <c r="E212" s="11"/>
      <c r="F212" s="60"/>
      <c r="G212" s="16"/>
      <c r="H212" s="38"/>
      <c r="I212" s="32"/>
    </row>
    <row r="213" spans="1:9" s="3" customFormat="1" ht="8.4499999999999993" customHeight="1" x14ac:dyDescent="0.25">
      <c r="B213" s="12"/>
      <c r="C213" s="13"/>
      <c r="D213" s="13"/>
      <c r="E213" s="13"/>
      <c r="F213" s="61"/>
      <c r="G213" s="51"/>
      <c r="H213" s="39"/>
      <c r="I213" s="32"/>
    </row>
    <row r="214" spans="1:9" s="3" customFormat="1" ht="12" customHeight="1" x14ac:dyDescent="0.25">
      <c r="A214" s="3">
        <v>503</v>
      </c>
      <c r="B214" s="8" t="s">
        <v>148</v>
      </c>
      <c r="C214" s="11"/>
      <c r="D214" s="10" t="s">
        <v>149</v>
      </c>
      <c r="E214" s="15" t="s">
        <v>118</v>
      </c>
      <c r="F214" s="60">
        <v>1528.6</v>
      </c>
      <c r="G214" s="16">
        <v>183.41</v>
      </c>
      <c r="H214" s="16">
        <f>F214*G214</f>
        <v>280360.53000000003</v>
      </c>
      <c r="I214" s="32"/>
    </row>
    <row r="215" spans="1:9" s="3" customFormat="1" ht="8.4499999999999993" customHeight="1" x14ac:dyDescent="0.25">
      <c r="B215" s="12"/>
      <c r="C215" s="13"/>
      <c r="D215" s="13"/>
      <c r="E215" s="13"/>
      <c r="F215" s="61"/>
      <c r="G215" s="51"/>
      <c r="H215" s="39"/>
      <c r="I215" s="32"/>
    </row>
    <row r="216" spans="1:9" s="3" customFormat="1" ht="12" customHeight="1" x14ac:dyDescent="0.25">
      <c r="A216" s="3">
        <v>504</v>
      </c>
      <c r="B216" s="8" t="s">
        <v>150</v>
      </c>
      <c r="C216" s="11"/>
      <c r="D216" s="10" t="s">
        <v>151</v>
      </c>
      <c r="E216" s="15" t="s">
        <v>118</v>
      </c>
      <c r="F216" s="60">
        <v>1642.5</v>
      </c>
      <c r="G216" s="16">
        <v>209.95</v>
      </c>
      <c r="H216" s="16">
        <f>F216*G216</f>
        <v>344842.88</v>
      </c>
      <c r="I216" s="32"/>
    </row>
    <row r="217" spans="1:9" s="3" customFormat="1" ht="8.4499999999999993" customHeight="1" x14ac:dyDescent="0.25">
      <c r="B217" s="12"/>
      <c r="C217" s="13"/>
      <c r="D217" s="13"/>
      <c r="E217" s="13"/>
      <c r="F217" s="61"/>
      <c r="G217" s="51"/>
      <c r="H217" s="39"/>
      <c r="I217" s="32"/>
    </row>
    <row r="218" spans="1:9" s="3" customFormat="1" ht="36" customHeight="1" x14ac:dyDescent="0.25">
      <c r="A218" s="3">
        <v>506</v>
      </c>
      <c r="B218" s="14"/>
      <c r="C218" s="9" t="s">
        <v>139</v>
      </c>
      <c r="D218" s="10" t="s">
        <v>152</v>
      </c>
      <c r="E218" s="11"/>
      <c r="F218" s="60"/>
      <c r="G218" s="16"/>
      <c r="H218" s="38"/>
      <c r="I218" s="32"/>
    </row>
    <row r="219" spans="1:9" s="3" customFormat="1" ht="8.4499999999999993" customHeight="1" x14ac:dyDescent="0.25">
      <c r="B219" s="12"/>
      <c r="C219" s="13"/>
      <c r="D219" s="13"/>
      <c r="E219" s="13"/>
      <c r="F219" s="61"/>
      <c r="G219" s="51"/>
      <c r="H219" s="39"/>
      <c r="I219" s="32"/>
    </row>
    <row r="220" spans="1:9" s="3" customFormat="1" ht="12" customHeight="1" x14ac:dyDescent="0.25">
      <c r="A220" s="3">
        <v>508</v>
      </c>
      <c r="B220" s="14"/>
      <c r="C220" s="11"/>
      <c r="D220" s="10" t="s">
        <v>153</v>
      </c>
      <c r="E220" s="11"/>
      <c r="F220" s="60"/>
      <c r="G220" s="16"/>
      <c r="H220" s="38"/>
      <c r="I220" s="32"/>
    </row>
    <row r="221" spans="1:9" s="3" customFormat="1" ht="8.4499999999999993" customHeight="1" x14ac:dyDescent="0.25">
      <c r="B221" s="12"/>
      <c r="C221" s="13"/>
      <c r="D221" s="13"/>
      <c r="E221" s="13"/>
      <c r="F221" s="61"/>
      <c r="G221" s="51"/>
      <c r="H221" s="39"/>
      <c r="I221" s="32"/>
    </row>
    <row r="222" spans="1:9" s="3" customFormat="1" ht="12" customHeight="1" x14ac:dyDescent="0.25">
      <c r="A222" s="3">
        <v>509</v>
      </c>
      <c r="B222" s="8" t="s">
        <v>154</v>
      </c>
      <c r="C222" s="9" t="s">
        <v>99</v>
      </c>
      <c r="D222" s="10" t="s">
        <v>155</v>
      </c>
      <c r="E222" s="15" t="s">
        <v>24</v>
      </c>
      <c r="F222" s="72">
        <v>2</v>
      </c>
      <c r="G222" s="16">
        <v>934.79</v>
      </c>
      <c r="H222" s="16">
        <f>F222*G222</f>
        <v>1869.58</v>
      </c>
      <c r="I222" s="32"/>
    </row>
    <row r="223" spans="1:9" s="3" customFormat="1" ht="8.4499999999999993" customHeight="1" x14ac:dyDescent="0.25">
      <c r="B223" s="12"/>
      <c r="C223" s="13"/>
      <c r="D223" s="13"/>
      <c r="E223" s="13"/>
      <c r="F223" s="73"/>
      <c r="G223" s="51"/>
      <c r="H223" s="39"/>
      <c r="I223" s="32"/>
    </row>
    <row r="224" spans="1:9" s="3" customFormat="1" ht="12" customHeight="1" x14ac:dyDescent="0.25">
      <c r="A224" s="3">
        <v>510</v>
      </c>
      <c r="B224" s="8" t="s">
        <v>156</v>
      </c>
      <c r="C224" s="11"/>
      <c r="D224" s="10" t="s">
        <v>157</v>
      </c>
      <c r="E224" s="15" t="s">
        <v>24</v>
      </c>
      <c r="F224" s="72">
        <v>3</v>
      </c>
      <c r="G224" s="16">
        <v>1169.17</v>
      </c>
      <c r="H224" s="16">
        <f>F224*G224</f>
        <v>3507.51</v>
      </c>
      <c r="I224" s="32"/>
    </row>
    <row r="225" spans="1:9" s="3" customFormat="1" ht="8.4499999999999993" customHeight="1" x14ac:dyDescent="0.25">
      <c r="B225" s="12"/>
      <c r="C225" s="13"/>
      <c r="D225" s="13"/>
      <c r="E225" s="13"/>
      <c r="F225" s="73"/>
      <c r="G225" s="51"/>
      <c r="H225" s="39"/>
      <c r="I225" s="32"/>
    </row>
    <row r="226" spans="1:9" s="3" customFormat="1" ht="12" customHeight="1" x14ac:dyDescent="0.25">
      <c r="A226" s="3">
        <v>512</v>
      </c>
      <c r="B226" s="14"/>
      <c r="C226" s="11"/>
      <c r="D226" s="10" t="s">
        <v>158</v>
      </c>
      <c r="E226" s="11"/>
      <c r="F226" s="72"/>
      <c r="G226" s="16"/>
      <c r="H226" s="38"/>
      <c r="I226" s="32"/>
    </row>
    <row r="227" spans="1:9" s="3" customFormat="1" ht="8.4499999999999993" customHeight="1" x14ac:dyDescent="0.25">
      <c r="B227" s="12"/>
      <c r="C227" s="13"/>
      <c r="D227" s="13"/>
      <c r="E227" s="13"/>
      <c r="F227" s="73"/>
      <c r="G227" s="51"/>
      <c r="H227" s="39"/>
      <c r="I227" s="32"/>
    </row>
    <row r="228" spans="1:9" s="3" customFormat="1" ht="12" customHeight="1" x14ac:dyDescent="0.25">
      <c r="A228" s="3">
        <v>513</v>
      </c>
      <c r="B228" s="8" t="s">
        <v>159</v>
      </c>
      <c r="C228" s="11"/>
      <c r="D228" s="10" t="s">
        <v>160</v>
      </c>
      <c r="E228" s="15" t="s">
        <v>24</v>
      </c>
      <c r="F228" s="72">
        <v>9</v>
      </c>
      <c r="G228" s="16">
        <v>1478.53</v>
      </c>
      <c r="H228" s="16">
        <f>F228*G228</f>
        <v>13306.77</v>
      </c>
      <c r="I228" s="32"/>
    </row>
    <row r="229" spans="1:9" s="3" customFormat="1" ht="8.4499999999999993" customHeight="1" x14ac:dyDescent="0.25">
      <c r="B229" s="12"/>
      <c r="C229" s="13"/>
      <c r="D229" s="13"/>
      <c r="E229" s="13"/>
      <c r="F229" s="73"/>
      <c r="G229" s="51"/>
      <c r="H229" s="39"/>
      <c r="I229" s="32"/>
    </row>
    <row r="230" spans="1:9" s="3" customFormat="1" ht="12" customHeight="1" x14ac:dyDescent="0.25">
      <c r="A230" s="3">
        <v>514</v>
      </c>
      <c r="B230" s="14"/>
      <c r="C230" s="11"/>
      <c r="D230" s="10" t="s">
        <v>161</v>
      </c>
      <c r="E230" s="15" t="s">
        <v>24</v>
      </c>
      <c r="F230" s="72">
        <v>2</v>
      </c>
      <c r="G230" s="16">
        <v>2435.96</v>
      </c>
      <c r="H230" s="16">
        <f>F230*G230</f>
        <v>4871.92</v>
      </c>
      <c r="I230" s="32"/>
    </row>
    <row r="231" spans="1:9" s="3" customFormat="1" ht="8.4499999999999993" customHeight="1" x14ac:dyDescent="0.25">
      <c r="B231" s="12"/>
      <c r="C231" s="13"/>
      <c r="D231" s="13"/>
      <c r="E231" s="13"/>
      <c r="F231" s="73"/>
      <c r="G231" s="51"/>
      <c r="H231" s="39"/>
      <c r="I231" s="32"/>
    </row>
    <row r="232" spans="1:9" s="3" customFormat="1" ht="12" customHeight="1" x14ac:dyDescent="0.25">
      <c r="A232" s="3">
        <v>516</v>
      </c>
      <c r="B232" s="14"/>
      <c r="C232" s="11"/>
      <c r="D232" s="10" t="s">
        <v>162</v>
      </c>
      <c r="E232" s="11"/>
      <c r="F232" s="72"/>
      <c r="G232" s="16"/>
      <c r="H232" s="38"/>
      <c r="I232" s="32"/>
    </row>
    <row r="233" spans="1:9" s="3" customFormat="1" ht="8.4499999999999993" customHeight="1" x14ac:dyDescent="0.25">
      <c r="B233" s="12"/>
      <c r="C233" s="13"/>
      <c r="D233" s="13"/>
      <c r="E233" s="13"/>
      <c r="F233" s="73"/>
      <c r="G233" s="51"/>
      <c r="H233" s="39"/>
      <c r="I233" s="32"/>
    </row>
    <row r="234" spans="1:9" s="3" customFormat="1" ht="12" customHeight="1" x14ac:dyDescent="0.25">
      <c r="A234" s="3">
        <v>517</v>
      </c>
      <c r="B234" s="8" t="s">
        <v>163</v>
      </c>
      <c r="C234" s="11"/>
      <c r="D234" s="10" t="s">
        <v>164</v>
      </c>
      <c r="E234" s="15" t="s">
        <v>24</v>
      </c>
      <c r="F234" s="72">
        <v>9</v>
      </c>
      <c r="G234" s="16">
        <v>374.96</v>
      </c>
      <c r="H234" s="16">
        <f>F234*G234</f>
        <v>3374.64</v>
      </c>
      <c r="I234" s="32"/>
    </row>
    <row r="235" spans="1:9" s="3" customFormat="1" ht="8.4499999999999993" customHeight="1" x14ac:dyDescent="0.25">
      <c r="B235" s="12"/>
      <c r="C235" s="13"/>
      <c r="D235" s="13"/>
      <c r="E235" s="13"/>
      <c r="F235" s="73"/>
      <c r="G235" s="51"/>
      <c r="H235" s="39"/>
      <c r="I235" s="32"/>
    </row>
    <row r="236" spans="1:9" s="3" customFormat="1" ht="12" customHeight="1" x14ac:dyDescent="0.25">
      <c r="A236" s="3">
        <v>518</v>
      </c>
      <c r="B236" s="8" t="s">
        <v>165</v>
      </c>
      <c r="C236" s="11"/>
      <c r="D236" s="10" t="s">
        <v>166</v>
      </c>
      <c r="E236" s="15" t="s">
        <v>24</v>
      </c>
      <c r="F236" s="72">
        <v>7</v>
      </c>
      <c r="G236" s="16">
        <v>374.96</v>
      </c>
      <c r="H236" s="16">
        <f>F236*G236</f>
        <v>2624.72</v>
      </c>
      <c r="I236" s="32"/>
    </row>
    <row r="237" spans="1:9" s="3" customFormat="1" ht="8.4499999999999993" customHeight="1" x14ac:dyDescent="0.25">
      <c r="B237" s="12"/>
      <c r="C237" s="13"/>
      <c r="D237" s="13"/>
      <c r="E237" s="13"/>
      <c r="F237" s="73"/>
      <c r="G237" s="51"/>
      <c r="H237" s="39"/>
      <c r="I237" s="32"/>
    </row>
    <row r="238" spans="1:9" s="3" customFormat="1" ht="12" customHeight="1" x14ac:dyDescent="0.25">
      <c r="A238" s="3">
        <v>519</v>
      </c>
      <c r="B238" s="8" t="s">
        <v>167</v>
      </c>
      <c r="C238" s="11"/>
      <c r="D238" s="10" t="s">
        <v>168</v>
      </c>
      <c r="E238" s="15" t="s">
        <v>24</v>
      </c>
      <c r="F238" s="72">
        <v>13</v>
      </c>
      <c r="G238" s="16">
        <v>427.56</v>
      </c>
      <c r="H238" s="16">
        <f>F238*G238</f>
        <v>5558.28</v>
      </c>
      <c r="I238" s="32"/>
    </row>
    <row r="239" spans="1:9" s="3" customFormat="1" ht="8.4499999999999993" customHeight="1" x14ac:dyDescent="0.25">
      <c r="B239" s="12"/>
      <c r="C239" s="13"/>
      <c r="D239" s="13"/>
      <c r="E239" s="13"/>
      <c r="F239" s="73"/>
      <c r="G239" s="51"/>
      <c r="H239" s="39"/>
      <c r="I239" s="32"/>
    </row>
    <row r="240" spans="1:9" s="3" customFormat="1" ht="12" customHeight="1" x14ac:dyDescent="0.25">
      <c r="A240" s="3">
        <v>520</v>
      </c>
      <c r="B240" s="8" t="s">
        <v>167</v>
      </c>
      <c r="C240" s="11"/>
      <c r="D240" s="10" t="s">
        <v>169</v>
      </c>
      <c r="E240" s="15" t="s">
        <v>24</v>
      </c>
      <c r="F240" s="72">
        <v>1</v>
      </c>
      <c r="G240" s="16">
        <v>427.56</v>
      </c>
      <c r="H240" s="16">
        <f>F240*G240</f>
        <v>427.56</v>
      </c>
      <c r="I240" s="32"/>
    </row>
    <row r="241" spans="1:9" s="3" customFormat="1" ht="8.4499999999999993" customHeight="1" x14ac:dyDescent="0.25">
      <c r="B241" s="12"/>
      <c r="C241" s="13"/>
      <c r="D241" s="13"/>
      <c r="E241" s="13"/>
      <c r="F241" s="73"/>
      <c r="G241" s="51"/>
      <c r="H241" s="39"/>
      <c r="I241" s="32"/>
    </row>
    <row r="242" spans="1:9" s="3" customFormat="1" ht="12" customHeight="1" x14ac:dyDescent="0.25">
      <c r="A242" s="3">
        <v>521</v>
      </c>
      <c r="B242" s="8" t="s">
        <v>170</v>
      </c>
      <c r="C242" s="11"/>
      <c r="D242" s="10" t="s">
        <v>171</v>
      </c>
      <c r="E242" s="15" t="s">
        <v>24</v>
      </c>
      <c r="F242" s="72">
        <v>5</v>
      </c>
      <c r="G242" s="16">
        <v>451.58</v>
      </c>
      <c r="H242" s="16">
        <f>F242*G242</f>
        <v>2257.9</v>
      </c>
      <c r="I242" s="32"/>
    </row>
    <row r="243" spans="1:9" s="3" customFormat="1" ht="8.4499999999999993" customHeight="1" x14ac:dyDescent="0.25">
      <c r="B243" s="12"/>
      <c r="C243" s="13"/>
      <c r="D243" s="13"/>
      <c r="E243" s="13"/>
      <c r="F243" s="73"/>
      <c r="G243" s="51"/>
      <c r="H243" s="39"/>
      <c r="I243" s="32"/>
    </row>
    <row r="244" spans="1:9" s="3" customFormat="1" ht="12" customHeight="1" x14ac:dyDescent="0.25">
      <c r="A244" s="3">
        <v>522</v>
      </c>
      <c r="B244" s="8" t="s">
        <v>172</v>
      </c>
      <c r="C244" s="11"/>
      <c r="D244" s="10" t="s">
        <v>173</v>
      </c>
      <c r="E244" s="15" t="s">
        <v>24</v>
      </c>
      <c r="F244" s="72">
        <v>18</v>
      </c>
      <c r="G244" s="16">
        <v>451.58</v>
      </c>
      <c r="H244" s="16">
        <f>F244*G244</f>
        <v>8128.44</v>
      </c>
      <c r="I244" s="32"/>
    </row>
    <row r="245" spans="1:9" s="3" customFormat="1" ht="8.4499999999999993" customHeight="1" x14ac:dyDescent="0.25">
      <c r="B245" s="12"/>
      <c r="C245" s="13"/>
      <c r="D245" s="13"/>
      <c r="E245" s="13"/>
      <c r="F245" s="73"/>
      <c r="G245" s="51"/>
      <c r="H245" s="39"/>
      <c r="I245" s="32"/>
    </row>
    <row r="246" spans="1:9" s="3" customFormat="1" ht="12" customHeight="1" x14ac:dyDescent="0.25">
      <c r="A246" s="3">
        <v>523</v>
      </c>
      <c r="B246" s="8" t="s">
        <v>174</v>
      </c>
      <c r="C246" s="11"/>
      <c r="D246" s="10" t="s">
        <v>175</v>
      </c>
      <c r="E246" s="15" t="s">
        <v>24</v>
      </c>
      <c r="F246" s="72">
        <v>8</v>
      </c>
      <c r="G246" s="16">
        <v>536.46</v>
      </c>
      <c r="H246" s="16">
        <f>F246*G246</f>
        <v>4291.68</v>
      </c>
      <c r="I246" s="32"/>
    </row>
    <row r="247" spans="1:9" s="3" customFormat="1" ht="8.4499999999999993" customHeight="1" x14ac:dyDescent="0.25">
      <c r="B247" s="12"/>
      <c r="C247" s="13"/>
      <c r="D247" s="13"/>
      <c r="E247" s="13"/>
      <c r="F247" s="73"/>
      <c r="G247" s="51"/>
      <c r="H247" s="39"/>
      <c r="I247" s="32"/>
    </row>
    <row r="248" spans="1:9" s="3" customFormat="1" ht="12" customHeight="1" x14ac:dyDescent="0.25">
      <c r="A248" s="3">
        <v>524</v>
      </c>
      <c r="B248" s="8" t="s">
        <v>176</v>
      </c>
      <c r="C248" s="11"/>
      <c r="D248" s="10" t="s">
        <v>177</v>
      </c>
      <c r="E248" s="15" t="s">
        <v>24</v>
      </c>
      <c r="F248" s="72">
        <v>1</v>
      </c>
      <c r="G248" s="16">
        <v>536.46</v>
      </c>
      <c r="H248" s="16">
        <f>F248*G248</f>
        <v>536.46</v>
      </c>
      <c r="I248" s="32"/>
    </row>
    <row r="249" spans="1:9" s="3" customFormat="1" ht="12" customHeight="1" x14ac:dyDescent="0.25">
      <c r="B249" s="8"/>
      <c r="C249" s="11"/>
      <c r="D249" s="10"/>
      <c r="E249" s="15"/>
      <c r="F249" s="60"/>
      <c r="G249" s="16"/>
      <c r="H249" s="16"/>
      <c r="I249" s="32"/>
    </row>
    <row r="250" spans="1:9" s="3" customFormat="1" ht="8.4499999999999993" customHeight="1" x14ac:dyDescent="0.25">
      <c r="B250" s="12"/>
      <c r="C250" s="13"/>
      <c r="D250" s="13"/>
      <c r="E250" s="13"/>
      <c r="F250" s="61"/>
      <c r="G250" s="51"/>
      <c r="H250" s="39"/>
      <c r="I250" s="32"/>
    </row>
    <row r="251" spans="1:9" s="3" customFormat="1" ht="12" customHeight="1" x14ac:dyDescent="0.25">
      <c r="B251" s="8"/>
      <c r="C251" s="11"/>
      <c r="D251" s="10"/>
      <c r="E251" s="15"/>
      <c r="F251" s="60"/>
      <c r="G251" s="16"/>
      <c r="H251" s="16"/>
      <c r="I251" s="32"/>
    </row>
    <row r="252" spans="1:9" s="3" customFormat="1" ht="8.4499999999999993" customHeight="1" x14ac:dyDescent="0.25">
      <c r="B252" s="12"/>
      <c r="C252" s="13"/>
      <c r="D252" s="13"/>
      <c r="E252" s="13"/>
      <c r="F252" s="61"/>
      <c r="G252" s="51"/>
      <c r="H252" s="39"/>
      <c r="I252" s="32"/>
    </row>
    <row r="253" spans="1:9" s="4" customFormat="1" ht="20.100000000000001" customHeight="1" x14ac:dyDescent="0.25">
      <c r="B253" s="17" t="s">
        <v>52</v>
      </c>
      <c r="C253" s="18"/>
      <c r="D253" s="18"/>
      <c r="E253" s="18"/>
      <c r="F253" s="62"/>
      <c r="G253" s="29"/>
      <c r="H253" s="19">
        <f>SUM(H197:H252)</f>
        <v>3941471.37</v>
      </c>
      <c r="I253" s="33"/>
    </row>
    <row r="254" spans="1:9" s="1" customFormat="1" ht="26.25" customHeight="1" x14ac:dyDescent="0.25">
      <c r="B254" s="74" t="s">
        <v>456</v>
      </c>
      <c r="C254" s="74"/>
      <c r="D254" s="74"/>
      <c r="E254" s="74"/>
      <c r="F254" s="74"/>
      <c r="G254" s="74"/>
      <c r="H254" s="74"/>
      <c r="I254" s="30"/>
    </row>
    <row r="255" spans="1:9" s="2" customFormat="1" ht="12" x14ac:dyDescent="0.25">
      <c r="D255" s="46"/>
      <c r="F255" s="58"/>
      <c r="G255" s="49"/>
      <c r="H255" s="36" t="s">
        <v>89</v>
      </c>
      <c r="I255" s="31"/>
    </row>
    <row r="256" spans="1:9" s="3" customFormat="1" ht="27.4" customHeight="1" x14ac:dyDescent="0.25">
      <c r="B256" s="7" t="s">
        <v>1</v>
      </c>
      <c r="C256" s="7" t="s">
        <v>2</v>
      </c>
      <c r="D256" s="7" t="s">
        <v>3</v>
      </c>
      <c r="E256" s="7" t="s">
        <v>4</v>
      </c>
      <c r="F256" s="59" t="s">
        <v>5</v>
      </c>
      <c r="G256" s="50" t="s">
        <v>6</v>
      </c>
      <c r="H256" s="37" t="s">
        <v>7</v>
      </c>
      <c r="I256" s="32"/>
    </row>
    <row r="257" spans="1:9" s="4" customFormat="1" ht="20.100000000000001" customHeight="1" x14ac:dyDescent="0.25">
      <c r="B257" s="17" t="s">
        <v>53</v>
      </c>
      <c r="C257" s="18"/>
      <c r="D257" s="18"/>
      <c r="E257" s="18"/>
      <c r="F257" s="62"/>
      <c r="G257" s="29"/>
      <c r="H257" s="19">
        <f>H253</f>
        <v>3941471.37</v>
      </c>
      <c r="I257" s="33"/>
    </row>
    <row r="258" spans="1:9" s="3" customFormat="1" ht="12" customHeight="1" x14ac:dyDescent="0.25">
      <c r="A258" s="3">
        <v>526</v>
      </c>
      <c r="B258" s="14"/>
      <c r="C258" s="11"/>
      <c r="D258" s="10" t="s">
        <v>178</v>
      </c>
      <c r="E258" s="11"/>
      <c r="F258" s="60"/>
      <c r="G258" s="16"/>
      <c r="H258" s="38"/>
      <c r="I258" s="32"/>
    </row>
    <row r="259" spans="1:9" s="3" customFormat="1" ht="8.4499999999999993" customHeight="1" x14ac:dyDescent="0.25">
      <c r="B259" s="12"/>
      <c r="C259" s="13"/>
      <c r="D259" s="13"/>
      <c r="E259" s="13"/>
      <c r="F259" s="61"/>
      <c r="G259" s="51"/>
      <c r="H259" s="39"/>
      <c r="I259" s="32"/>
    </row>
    <row r="260" spans="1:9" s="3" customFormat="1" ht="12" customHeight="1" x14ac:dyDescent="0.25">
      <c r="A260" s="3">
        <v>527</v>
      </c>
      <c r="B260" s="8" t="s">
        <v>179</v>
      </c>
      <c r="C260" s="11"/>
      <c r="D260" s="10" t="s">
        <v>180</v>
      </c>
      <c r="E260" s="15" t="s">
        <v>24</v>
      </c>
      <c r="F260" s="60">
        <v>4</v>
      </c>
      <c r="G260" s="16">
        <v>1435.5</v>
      </c>
      <c r="H260" s="16">
        <f>F260*G260</f>
        <v>5742</v>
      </c>
      <c r="I260" s="32"/>
    </row>
    <row r="261" spans="1:9" s="3" customFormat="1" ht="8.4499999999999993" customHeight="1" x14ac:dyDescent="0.25">
      <c r="B261" s="12"/>
      <c r="C261" s="13"/>
      <c r="D261" s="13"/>
      <c r="E261" s="13"/>
      <c r="F261" s="61"/>
      <c r="G261" s="51"/>
      <c r="H261" s="39"/>
      <c r="I261" s="32"/>
    </row>
    <row r="262" spans="1:9" s="3" customFormat="1" ht="12" customHeight="1" x14ac:dyDescent="0.25">
      <c r="A262" s="3">
        <v>528</v>
      </c>
      <c r="B262" s="8" t="s">
        <v>181</v>
      </c>
      <c r="C262" s="11"/>
      <c r="D262" s="10" t="s">
        <v>182</v>
      </c>
      <c r="E262" s="15" t="s">
        <v>24</v>
      </c>
      <c r="F262" s="60">
        <v>6</v>
      </c>
      <c r="G262" s="16">
        <v>1544.9</v>
      </c>
      <c r="H262" s="16">
        <f>F262*G262</f>
        <v>9269.4</v>
      </c>
      <c r="I262" s="32"/>
    </row>
    <row r="263" spans="1:9" s="3" customFormat="1" ht="8.4499999999999993" customHeight="1" x14ac:dyDescent="0.25">
      <c r="B263" s="12"/>
      <c r="C263" s="13"/>
      <c r="D263" s="13"/>
      <c r="E263" s="13"/>
      <c r="F263" s="61"/>
      <c r="G263" s="51"/>
      <c r="H263" s="39"/>
      <c r="I263" s="32"/>
    </row>
    <row r="264" spans="1:9" s="3" customFormat="1" ht="8.4499999999999993" customHeight="1" x14ac:dyDescent="0.25">
      <c r="B264" s="12"/>
      <c r="C264" s="13"/>
      <c r="D264" s="13"/>
      <c r="E264" s="13"/>
      <c r="F264" s="61"/>
      <c r="G264" s="51"/>
      <c r="H264" s="39"/>
      <c r="I264" s="32"/>
    </row>
    <row r="265" spans="1:9" s="3" customFormat="1" ht="48" customHeight="1" x14ac:dyDescent="0.25">
      <c r="A265" s="3">
        <v>531</v>
      </c>
      <c r="B265" s="8" t="s">
        <v>184</v>
      </c>
      <c r="C265" s="11"/>
      <c r="D265" s="10" t="s">
        <v>185</v>
      </c>
      <c r="E265" s="15" t="s">
        <v>24</v>
      </c>
      <c r="F265" s="60">
        <v>10</v>
      </c>
      <c r="G265" s="16">
        <v>5800</v>
      </c>
      <c r="H265" s="16">
        <f>F265*G265</f>
        <v>58000</v>
      </c>
      <c r="I265" s="32"/>
    </row>
    <row r="266" spans="1:9" s="3" customFormat="1" ht="8.4499999999999993" customHeight="1" x14ac:dyDescent="0.25">
      <c r="B266" s="12"/>
      <c r="C266" s="13"/>
      <c r="D266" s="13"/>
      <c r="E266" s="13"/>
      <c r="F266" s="61"/>
      <c r="G266" s="51"/>
      <c r="H266" s="39"/>
      <c r="I266" s="32"/>
    </row>
    <row r="267" spans="1:9" s="3" customFormat="1" ht="12" customHeight="1" x14ac:dyDescent="0.25">
      <c r="A267" s="3">
        <v>530</v>
      </c>
      <c r="B267" s="14"/>
      <c r="C267" s="11"/>
      <c r="D267" s="10" t="s">
        <v>183</v>
      </c>
      <c r="E267" s="11"/>
      <c r="F267" s="60"/>
      <c r="G267" s="16"/>
      <c r="H267" s="38"/>
      <c r="I267" s="32"/>
    </row>
    <row r="268" spans="1:9" s="3" customFormat="1" ht="8.4499999999999993" customHeight="1" x14ac:dyDescent="0.25">
      <c r="B268" s="12"/>
      <c r="C268" s="13"/>
      <c r="D268" s="13"/>
      <c r="E268" s="13"/>
      <c r="F268" s="61"/>
      <c r="G268" s="51"/>
      <c r="H268" s="39"/>
      <c r="I268" s="32"/>
    </row>
    <row r="269" spans="1:9" s="3" customFormat="1" ht="36" customHeight="1" x14ac:dyDescent="0.25">
      <c r="A269" s="3">
        <v>533</v>
      </c>
      <c r="B269" s="14"/>
      <c r="C269" s="11"/>
      <c r="D269" s="10" t="s">
        <v>186</v>
      </c>
      <c r="E269" s="15"/>
      <c r="F269" s="60"/>
      <c r="G269" s="16"/>
      <c r="H269" s="38"/>
      <c r="I269" s="32"/>
    </row>
    <row r="270" spans="1:9" s="3" customFormat="1" ht="8.4499999999999993" customHeight="1" x14ac:dyDescent="0.25">
      <c r="B270" s="12"/>
      <c r="C270" s="13"/>
      <c r="D270" s="13"/>
      <c r="E270" s="13"/>
      <c r="F270" s="61"/>
      <c r="G270" s="51"/>
      <c r="H270" s="39"/>
      <c r="I270" s="32"/>
    </row>
    <row r="271" spans="1:9" s="3" customFormat="1" ht="12" customHeight="1" x14ac:dyDescent="0.25">
      <c r="A271" s="3">
        <v>534</v>
      </c>
      <c r="B271" s="8" t="s">
        <v>187</v>
      </c>
      <c r="C271" s="11"/>
      <c r="D271" s="10" t="s">
        <v>188</v>
      </c>
      <c r="E271" s="15" t="s">
        <v>24</v>
      </c>
      <c r="F271" s="60">
        <v>12</v>
      </c>
      <c r="G271" s="16">
        <v>5297.49</v>
      </c>
      <c r="H271" s="16">
        <f>F271*G271</f>
        <v>63569.88</v>
      </c>
      <c r="I271" s="32"/>
    </row>
    <row r="272" spans="1:9" s="3" customFormat="1" ht="8.4499999999999993" customHeight="1" x14ac:dyDescent="0.25">
      <c r="B272" s="12"/>
      <c r="C272" s="13"/>
      <c r="D272" s="13"/>
      <c r="E272" s="13"/>
      <c r="F272" s="61"/>
      <c r="G272" s="51"/>
      <c r="H272" s="39"/>
      <c r="I272" s="32"/>
    </row>
    <row r="273" spans="1:9" s="3" customFormat="1" ht="12" customHeight="1" x14ac:dyDescent="0.25">
      <c r="A273" s="3">
        <v>535</v>
      </c>
      <c r="B273" s="8" t="s">
        <v>189</v>
      </c>
      <c r="C273" s="11"/>
      <c r="D273" s="10" t="s">
        <v>190</v>
      </c>
      <c r="E273" s="15" t="s">
        <v>24</v>
      </c>
      <c r="F273" s="60">
        <v>13</v>
      </c>
      <c r="G273" s="16">
        <v>5913.27</v>
      </c>
      <c r="H273" s="16">
        <f>F273*G273</f>
        <v>76872.509999999995</v>
      </c>
      <c r="I273" s="32"/>
    </row>
    <row r="274" spans="1:9" s="3" customFormat="1" ht="8.4499999999999993" customHeight="1" x14ac:dyDescent="0.25">
      <c r="B274" s="12"/>
      <c r="C274" s="13"/>
      <c r="D274" s="13"/>
      <c r="E274" s="13"/>
      <c r="F274" s="61"/>
      <c r="G274" s="51"/>
      <c r="H274" s="39"/>
      <c r="I274" s="32"/>
    </row>
    <row r="275" spans="1:9" s="3" customFormat="1" ht="36" customHeight="1" x14ac:dyDescent="0.25">
      <c r="A275" s="3">
        <v>550</v>
      </c>
      <c r="B275" s="8" t="s">
        <v>191</v>
      </c>
      <c r="C275" s="11"/>
      <c r="D275" s="10" t="s">
        <v>192</v>
      </c>
      <c r="E275" s="15" t="s">
        <v>24</v>
      </c>
      <c r="F275" s="60">
        <v>25</v>
      </c>
      <c r="G275" s="16">
        <v>1046.5</v>
      </c>
      <c r="H275" s="16">
        <f>F275*G275</f>
        <v>26162.5</v>
      </c>
      <c r="I275" s="32"/>
    </row>
    <row r="276" spans="1:9" s="3" customFormat="1" ht="8.4499999999999993" customHeight="1" x14ac:dyDescent="0.25">
      <c r="B276" s="12"/>
      <c r="C276" s="13"/>
      <c r="D276" s="13"/>
      <c r="E276" s="13"/>
      <c r="F276" s="61"/>
      <c r="G276" s="51"/>
      <c r="H276" s="39"/>
      <c r="I276" s="32"/>
    </row>
    <row r="277" spans="1:9" s="3" customFormat="1" ht="26.25" customHeight="1" x14ac:dyDescent="0.25">
      <c r="A277" s="3">
        <v>552</v>
      </c>
      <c r="B277" s="8" t="s">
        <v>193</v>
      </c>
      <c r="C277" s="11"/>
      <c r="D277" s="10" t="s">
        <v>194</v>
      </c>
      <c r="E277" s="15" t="s">
        <v>24</v>
      </c>
      <c r="F277" s="60">
        <v>25</v>
      </c>
      <c r="G277" s="16">
        <v>980</v>
      </c>
      <c r="H277" s="16">
        <f>F277*G277</f>
        <v>24500</v>
      </c>
      <c r="I277" s="32"/>
    </row>
    <row r="278" spans="1:9" s="3" customFormat="1" ht="8.4499999999999993" customHeight="1" x14ac:dyDescent="0.25">
      <c r="B278" s="12"/>
      <c r="C278" s="13"/>
      <c r="D278" s="13"/>
      <c r="E278" s="13"/>
      <c r="F278" s="61"/>
      <c r="G278" s="51"/>
      <c r="H278" s="39"/>
      <c r="I278" s="32"/>
    </row>
    <row r="279" spans="1:9" s="3" customFormat="1" ht="24" customHeight="1" x14ac:dyDescent="0.25">
      <c r="A279" s="3">
        <v>554</v>
      </c>
      <c r="B279" s="14"/>
      <c r="C279" s="9" t="s">
        <v>195</v>
      </c>
      <c r="D279" s="10" t="s">
        <v>196</v>
      </c>
      <c r="E279" s="11"/>
      <c r="F279" s="60"/>
      <c r="G279" s="16"/>
      <c r="H279" s="38"/>
      <c r="I279" s="32"/>
    </row>
    <row r="280" spans="1:9" s="3" customFormat="1" ht="8.4499999999999993" customHeight="1" x14ac:dyDescent="0.25">
      <c r="B280" s="12"/>
      <c r="C280" s="13"/>
      <c r="D280" s="13"/>
      <c r="E280" s="13"/>
      <c r="F280" s="61"/>
      <c r="G280" s="51"/>
      <c r="H280" s="39"/>
      <c r="I280" s="32"/>
    </row>
    <row r="281" spans="1:9" s="3" customFormat="1" ht="12" customHeight="1" x14ac:dyDescent="0.25">
      <c r="A281" s="3">
        <v>556</v>
      </c>
      <c r="B281" s="14"/>
      <c r="C281" s="9" t="s">
        <v>197</v>
      </c>
      <c r="D281" s="10" t="s">
        <v>198</v>
      </c>
      <c r="E281" s="11"/>
      <c r="F281" s="60"/>
      <c r="G281" s="16"/>
      <c r="H281" s="38"/>
      <c r="I281" s="32"/>
    </row>
    <row r="282" spans="1:9" s="3" customFormat="1" ht="8.4499999999999993" customHeight="1" x14ac:dyDescent="0.25">
      <c r="B282" s="12"/>
      <c r="C282" s="13"/>
      <c r="D282" s="13"/>
      <c r="E282" s="13"/>
      <c r="F282" s="61"/>
      <c r="G282" s="51"/>
      <c r="H282" s="39"/>
      <c r="I282" s="32"/>
    </row>
    <row r="283" spans="1:9" s="3" customFormat="1" ht="12" customHeight="1" x14ac:dyDescent="0.25">
      <c r="A283" s="3">
        <v>558</v>
      </c>
      <c r="B283" s="14"/>
      <c r="C283" s="11"/>
      <c r="D283" s="10" t="s">
        <v>199</v>
      </c>
      <c r="E283" s="11"/>
      <c r="F283" s="60"/>
      <c r="G283" s="16"/>
      <c r="H283" s="38"/>
      <c r="I283" s="32"/>
    </row>
    <row r="284" spans="1:9" s="3" customFormat="1" ht="8.4499999999999993" customHeight="1" x14ac:dyDescent="0.25">
      <c r="B284" s="12"/>
      <c r="C284" s="13"/>
      <c r="D284" s="13"/>
      <c r="E284" s="13"/>
      <c r="F284" s="61"/>
      <c r="G284" s="51"/>
      <c r="H284" s="39"/>
      <c r="I284" s="32"/>
    </row>
    <row r="285" spans="1:9" s="3" customFormat="1" ht="12" customHeight="1" x14ac:dyDescent="0.25">
      <c r="A285" s="3">
        <v>560</v>
      </c>
      <c r="B285" s="8" t="s">
        <v>200</v>
      </c>
      <c r="C285" s="11"/>
      <c r="D285" s="10" t="s">
        <v>201</v>
      </c>
      <c r="E285" s="15" t="s">
        <v>24</v>
      </c>
      <c r="F285" s="72">
        <v>62</v>
      </c>
      <c r="G285" s="16">
        <v>300</v>
      </c>
      <c r="H285" s="16">
        <f>F285*G285</f>
        <v>18600</v>
      </c>
      <c r="I285" s="32"/>
    </row>
    <row r="286" spans="1:9" s="3" customFormat="1" ht="8.4499999999999993" customHeight="1" x14ac:dyDescent="0.25">
      <c r="B286" s="12"/>
      <c r="C286" s="13"/>
      <c r="D286" s="13"/>
      <c r="E286" s="13"/>
      <c r="F286" s="73"/>
      <c r="G286" s="51"/>
      <c r="H286" s="39"/>
      <c r="I286" s="32"/>
    </row>
    <row r="287" spans="1:9" s="3" customFormat="1" ht="12" customHeight="1" x14ac:dyDescent="0.25">
      <c r="A287" s="3">
        <v>562</v>
      </c>
      <c r="B287" s="8" t="s">
        <v>202</v>
      </c>
      <c r="C287" s="11"/>
      <c r="D287" s="10" t="s">
        <v>203</v>
      </c>
      <c r="E287" s="15" t="s">
        <v>24</v>
      </c>
      <c r="F287" s="72">
        <v>14</v>
      </c>
      <c r="G287" s="16">
        <v>300</v>
      </c>
      <c r="H287" s="16">
        <f>F287*G287</f>
        <v>4200</v>
      </c>
      <c r="I287" s="32"/>
    </row>
    <row r="288" spans="1:9" s="3" customFormat="1" ht="8.4499999999999993" customHeight="1" x14ac:dyDescent="0.25">
      <c r="B288" s="12"/>
      <c r="C288" s="13"/>
      <c r="D288" s="13"/>
      <c r="E288" s="13"/>
      <c r="F288" s="61"/>
      <c r="G288" s="51"/>
      <c r="H288" s="39"/>
      <c r="I288" s="32"/>
    </row>
    <row r="289" spans="1:9" s="3" customFormat="1" ht="24" customHeight="1" x14ac:dyDescent="0.25">
      <c r="A289" s="3">
        <v>564</v>
      </c>
      <c r="B289" s="8" t="s">
        <v>204</v>
      </c>
      <c r="C289" s="9" t="s">
        <v>205</v>
      </c>
      <c r="D289" s="10" t="s">
        <v>206</v>
      </c>
      <c r="E289" s="11"/>
      <c r="F289" s="60"/>
      <c r="G289" s="16"/>
      <c r="H289" s="38"/>
      <c r="I289" s="32"/>
    </row>
    <row r="290" spans="1:9" s="3" customFormat="1" ht="8.4499999999999993" customHeight="1" x14ac:dyDescent="0.25">
      <c r="B290" s="12"/>
      <c r="C290" s="13"/>
      <c r="D290" s="13"/>
      <c r="E290" s="13"/>
      <c r="F290" s="61"/>
      <c r="G290" s="51"/>
      <c r="H290" s="39"/>
      <c r="I290" s="32"/>
    </row>
    <row r="291" spans="1:9" s="3" customFormat="1" ht="60" customHeight="1" x14ac:dyDescent="0.25">
      <c r="A291" s="3">
        <v>566</v>
      </c>
      <c r="B291" s="14"/>
      <c r="C291" s="9" t="s">
        <v>99</v>
      </c>
      <c r="D291" s="10" t="s">
        <v>207</v>
      </c>
      <c r="E291" s="11"/>
      <c r="F291" s="60"/>
      <c r="G291" s="16"/>
      <c r="H291" s="38"/>
      <c r="I291" s="32"/>
    </row>
    <row r="292" spans="1:9" s="3" customFormat="1" ht="8.4499999999999993" customHeight="1" x14ac:dyDescent="0.25">
      <c r="B292" s="12"/>
      <c r="C292" s="13"/>
      <c r="D292" s="13"/>
      <c r="E292" s="13"/>
      <c r="F292" s="61"/>
      <c r="G292" s="51"/>
      <c r="H292" s="39"/>
      <c r="I292" s="32"/>
    </row>
    <row r="293" spans="1:9" s="3" customFormat="1" ht="12" customHeight="1" x14ac:dyDescent="0.25">
      <c r="A293" s="3">
        <v>568</v>
      </c>
      <c r="B293" s="14"/>
      <c r="C293" s="11"/>
      <c r="D293" s="10" t="s">
        <v>208</v>
      </c>
      <c r="E293" s="11"/>
      <c r="F293" s="60"/>
      <c r="G293" s="16"/>
      <c r="H293" s="38"/>
      <c r="I293" s="32"/>
    </row>
    <row r="294" spans="1:9" s="3" customFormat="1" ht="8.4499999999999993" customHeight="1" x14ac:dyDescent="0.25">
      <c r="B294" s="12"/>
      <c r="C294" s="13"/>
      <c r="D294" s="13"/>
      <c r="E294" s="13"/>
      <c r="F294" s="61"/>
      <c r="G294" s="51"/>
      <c r="H294" s="39"/>
      <c r="I294" s="32"/>
    </row>
    <row r="295" spans="1:9" s="3" customFormat="1" ht="12" customHeight="1" x14ac:dyDescent="0.25">
      <c r="A295" s="3">
        <v>570</v>
      </c>
      <c r="B295" s="8" t="s">
        <v>209</v>
      </c>
      <c r="C295" s="11"/>
      <c r="D295" s="10" t="s">
        <v>210</v>
      </c>
      <c r="E295" s="15" t="s">
        <v>24</v>
      </c>
      <c r="F295" s="60">
        <v>18</v>
      </c>
      <c r="G295" s="16">
        <v>836.16</v>
      </c>
      <c r="H295" s="16">
        <f>F295*G295</f>
        <v>15050.88</v>
      </c>
      <c r="I295" s="32"/>
    </row>
    <row r="296" spans="1:9" s="3" customFormat="1" ht="8.4499999999999993" customHeight="1" x14ac:dyDescent="0.25">
      <c r="B296" s="12"/>
      <c r="C296" s="13"/>
      <c r="D296" s="13"/>
      <c r="E296" s="13"/>
      <c r="F296" s="61"/>
      <c r="G296" s="51"/>
      <c r="H296" s="39"/>
      <c r="I296" s="32"/>
    </row>
    <row r="297" spans="1:9" s="3" customFormat="1" ht="12" customHeight="1" x14ac:dyDescent="0.25">
      <c r="A297" s="3">
        <v>572</v>
      </c>
      <c r="B297" s="8" t="s">
        <v>211</v>
      </c>
      <c r="C297" s="11"/>
      <c r="D297" s="10" t="s">
        <v>212</v>
      </c>
      <c r="E297" s="15" t="s">
        <v>24</v>
      </c>
      <c r="F297" s="60">
        <v>87</v>
      </c>
      <c r="G297" s="16">
        <v>986.36</v>
      </c>
      <c r="H297" s="16">
        <f>F297*G297</f>
        <v>85813.32</v>
      </c>
      <c r="I297" s="32"/>
    </row>
    <row r="298" spans="1:9" s="3" customFormat="1" ht="8.4499999999999993" customHeight="1" x14ac:dyDescent="0.25">
      <c r="B298" s="12"/>
      <c r="C298" s="13"/>
      <c r="D298" s="13"/>
      <c r="E298" s="13"/>
      <c r="F298" s="61"/>
      <c r="G298" s="51"/>
      <c r="H298" s="39"/>
      <c r="I298" s="32"/>
    </row>
    <row r="299" spans="1:9" s="3" customFormat="1" ht="12" customHeight="1" x14ac:dyDescent="0.25">
      <c r="A299" s="3">
        <v>574</v>
      </c>
      <c r="B299" s="8" t="s">
        <v>213</v>
      </c>
      <c r="C299" s="11"/>
      <c r="D299" s="10" t="s">
        <v>214</v>
      </c>
      <c r="E299" s="15" t="s">
        <v>24</v>
      </c>
      <c r="F299" s="60">
        <v>9</v>
      </c>
      <c r="G299" s="16">
        <v>1232.8399999999999</v>
      </c>
      <c r="H299" s="16">
        <f>F299*G299</f>
        <v>11095.56</v>
      </c>
      <c r="I299" s="32"/>
    </row>
    <row r="300" spans="1:9" s="3" customFormat="1" ht="8.4499999999999993" customHeight="1" x14ac:dyDescent="0.25">
      <c r="B300" s="12"/>
      <c r="C300" s="13"/>
      <c r="D300" s="13"/>
      <c r="E300" s="13"/>
      <c r="F300" s="61"/>
      <c r="G300" s="51"/>
      <c r="H300" s="39"/>
      <c r="I300" s="32"/>
    </row>
    <row r="301" spans="1:9" s="3" customFormat="1" ht="12" customHeight="1" x14ac:dyDescent="0.25">
      <c r="A301" s="3">
        <v>576</v>
      </c>
      <c r="B301" s="8" t="s">
        <v>215</v>
      </c>
      <c r="C301" s="11"/>
      <c r="D301" s="10" t="s">
        <v>216</v>
      </c>
      <c r="E301" s="15" t="s">
        <v>24</v>
      </c>
      <c r="F301" s="60">
        <v>56</v>
      </c>
      <c r="G301" s="16">
        <v>1513.15</v>
      </c>
      <c r="H301" s="16">
        <f>F301*G301</f>
        <v>84736.4</v>
      </c>
      <c r="I301" s="32"/>
    </row>
    <row r="302" spans="1:9" s="3" customFormat="1" ht="8.4499999999999993" customHeight="1" x14ac:dyDescent="0.25">
      <c r="B302" s="12"/>
      <c r="C302" s="13"/>
      <c r="D302" s="13"/>
      <c r="E302" s="13"/>
      <c r="F302" s="61"/>
      <c r="G302" s="51"/>
      <c r="H302" s="39"/>
      <c r="I302" s="32"/>
    </row>
    <row r="303" spans="1:9" s="3" customFormat="1" ht="12" customHeight="1" x14ac:dyDescent="0.25">
      <c r="B303" s="8"/>
      <c r="C303" s="11"/>
      <c r="D303" s="10"/>
      <c r="E303" s="15"/>
      <c r="F303" s="60"/>
      <c r="G303" s="16"/>
      <c r="H303" s="16"/>
      <c r="I303" s="32"/>
    </row>
    <row r="304" spans="1:9" s="3" customFormat="1" ht="8.4499999999999993" customHeight="1" x14ac:dyDescent="0.25">
      <c r="B304" s="12"/>
      <c r="C304" s="13"/>
      <c r="D304" s="13"/>
      <c r="E304" s="13"/>
      <c r="F304" s="61"/>
      <c r="G304" s="51"/>
      <c r="H304" s="39"/>
      <c r="I304" s="32"/>
    </row>
    <row r="305" spans="1:9" s="3" customFormat="1" ht="12" customHeight="1" x14ac:dyDescent="0.25">
      <c r="B305" s="8"/>
      <c r="C305" s="11"/>
      <c r="D305" s="10"/>
      <c r="E305" s="15"/>
      <c r="F305" s="60"/>
      <c r="G305" s="16"/>
      <c r="H305" s="16"/>
      <c r="I305" s="32"/>
    </row>
    <row r="306" spans="1:9" s="3" customFormat="1" ht="8.4499999999999993" customHeight="1" x14ac:dyDescent="0.25">
      <c r="B306" s="12"/>
      <c r="C306" s="13"/>
      <c r="D306" s="13"/>
      <c r="E306" s="13"/>
      <c r="F306" s="61"/>
      <c r="G306" s="51"/>
      <c r="H306" s="39"/>
      <c r="I306" s="32"/>
    </row>
    <row r="307" spans="1:9" s="3" customFormat="1" ht="12" customHeight="1" x14ac:dyDescent="0.25">
      <c r="B307" s="8"/>
      <c r="C307" s="11"/>
      <c r="D307" s="10"/>
      <c r="E307" s="15"/>
      <c r="F307" s="60"/>
      <c r="G307" s="16"/>
      <c r="H307" s="16"/>
      <c r="I307" s="32"/>
    </row>
    <row r="308" spans="1:9" s="3" customFormat="1" ht="8.4499999999999993" customHeight="1" x14ac:dyDescent="0.25">
      <c r="B308" s="12"/>
      <c r="C308" s="13"/>
      <c r="D308" s="13"/>
      <c r="E308" s="13"/>
      <c r="F308" s="61"/>
      <c r="G308" s="51"/>
      <c r="H308" s="39"/>
      <c r="I308" s="32"/>
    </row>
    <row r="309" spans="1:9" s="3" customFormat="1" ht="12" customHeight="1" x14ac:dyDescent="0.25">
      <c r="B309" s="8"/>
      <c r="C309" s="11"/>
      <c r="D309" s="10"/>
      <c r="E309" s="15"/>
      <c r="F309" s="60"/>
      <c r="G309" s="16"/>
      <c r="H309" s="16"/>
      <c r="I309" s="32"/>
    </row>
    <row r="310" spans="1:9" s="4" customFormat="1" ht="20.100000000000001" customHeight="1" x14ac:dyDescent="0.25">
      <c r="B310" s="17" t="s">
        <v>52</v>
      </c>
      <c r="C310" s="18"/>
      <c r="D310" s="18"/>
      <c r="E310" s="18"/>
      <c r="F310" s="62"/>
      <c r="G310" s="29"/>
      <c r="H310" s="19">
        <f>SUM(H257:H308)</f>
        <v>4425083.82</v>
      </c>
      <c r="I310" s="33"/>
    </row>
    <row r="311" spans="1:9" s="1" customFormat="1" ht="26.25" customHeight="1" x14ac:dyDescent="0.25">
      <c r="B311" s="74" t="s">
        <v>456</v>
      </c>
      <c r="C311" s="74"/>
      <c r="D311" s="74"/>
      <c r="E311" s="74"/>
      <c r="F311" s="74"/>
      <c r="G311" s="74"/>
      <c r="H311" s="74"/>
      <c r="I311" s="30"/>
    </row>
    <row r="312" spans="1:9" s="2" customFormat="1" ht="12" x14ac:dyDescent="0.25">
      <c r="D312" s="46"/>
      <c r="F312" s="58"/>
      <c r="G312" s="49"/>
      <c r="H312" s="36" t="s">
        <v>89</v>
      </c>
      <c r="I312" s="31"/>
    </row>
    <row r="313" spans="1:9" s="3" customFormat="1" ht="27.4" customHeight="1" x14ac:dyDescent="0.25">
      <c r="B313" s="7" t="s">
        <v>1</v>
      </c>
      <c r="C313" s="7" t="s">
        <v>2</v>
      </c>
      <c r="D313" s="7" t="s">
        <v>3</v>
      </c>
      <c r="E313" s="7" t="s">
        <v>4</v>
      </c>
      <c r="F313" s="59" t="s">
        <v>5</v>
      </c>
      <c r="G313" s="50" t="s">
        <v>6</v>
      </c>
      <c r="H313" s="37" t="s">
        <v>7</v>
      </c>
      <c r="I313" s="32"/>
    </row>
    <row r="314" spans="1:9" s="4" customFormat="1" ht="20.100000000000001" customHeight="1" x14ac:dyDescent="0.25">
      <c r="B314" s="17" t="s">
        <v>53</v>
      </c>
      <c r="C314" s="18"/>
      <c r="D314" s="18"/>
      <c r="E314" s="18"/>
      <c r="F314" s="62"/>
      <c r="G314" s="29"/>
      <c r="H314" s="19">
        <f>H310</f>
        <v>4425083.82</v>
      </c>
      <c r="I314" s="33"/>
    </row>
    <row r="315" spans="1:9" s="3" customFormat="1" ht="36" customHeight="1" x14ac:dyDescent="0.25">
      <c r="A315" s="3">
        <v>578</v>
      </c>
      <c r="B315" s="8" t="s">
        <v>217</v>
      </c>
      <c r="C315" s="11"/>
      <c r="D315" s="10" t="s">
        <v>218</v>
      </c>
      <c r="E315" s="15" t="s">
        <v>24</v>
      </c>
      <c r="F315" s="60">
        <v>309</v>
      </c>
      <c r="G315" s="16">
        <v>150</v>
      </c>
      <c r="H315" s="16">
        <f>F315*G315</f>
        <v>46350</v>
      </c>
      <c r="I315" s="32"/>
    </row>
    <row r="316" spans="1:9" s="3" customFormat="1" ht="8.4499999999999993" customHeight="1" x14ac:dyDescent="0.25">
      <c r="B316" s="12"/>
      <c r="C316" s="13"/>
      <c r="D316" s="13"/>
      <c r="E316" s="13"/>
      <c r="F316" s="61"/>
      <c r="G316" s="51"/>
      <c r="H316" s="39"/>
      <c r="I316" s="32"/>
    </row>
    <row r="317" spans="1:9" s="3" customFormat="1" ht="24" customHeight="1" x14ac:dyDescent="0.25">
      <c r="A317" s="3">
        <v>580</v>
      </c>
      <c r="B317" s="8" t="s">
        <v>219</v>
      </c>
      <c r="C317" s="11"/>
      <c r="D317" s="10" t="s">
        <v>455</v>
      </c>
      <c r="E317" s="15" t="s">
        <v>17</v>
      </c>
      <c r="F317" s="60">
        <v>1</v>
      </c>
      <c r="G317" s="16">
        <v>5000</v>
      </c>
      <c r="H317" s="16">
        <f>F317*G317</f>
        <v>5000</v>
      </c>
      <c r="I317" s="32"/>
    </row>
    <row r="318" spans="1:9" s="3" customFormat="1" ht="8.4499999999999993" customHeight="1" x14ac:dyDescent="0.25">
      <c r="B318" s="12"/>
      <c r="C318" s="13"/>
      <c r="D318" s="13"/>
      <c r="E318" s="13"/>
      <c r="F318" s="61"/>
      <c r="G318" s="51"/>
      <c r="H318" s="39"/>
      <c r="I318" s="32"/>
    </row>
    <row r="319" spans="1:9" s="3" customFormat="1" ht="12" customHeight="1" x14ac:dyDescent="0.25">
      <c r="A319" s="3">
        <v>581</v>
      </c>
      <c r="B319" s="14"/>
      <c r="C319" s="11"/>
      <c r="D319" s="11"/>
      <c r="E319" s="11"/>
      <c r="F319" s="60"/>
      <c r="G319" s="16"/>
      <c r="H319" s="38"/>
      <c r="I319" s="32"/>
    </row>
    <row r="320" spans="1:9" s="3" customFormat="1" ht="8.4499999999999993" customHeight="1" x14ac:dyDescent="0.25">
      <c r="B320" s="12"/>
      <c r="C320" s="13"/>
      <c r="D320" s="13"/>
      <c r="E320" s="13"/>
      <c r="F320" s="61"/>
      <c r="G320" s="51"/>
      <c r="H320" s="39"/>
      <c r="I320" s="32"/>
    </row>
    <row r="321" spans="1:9" s="3" customFormat="1" ht="12" customHeight="1" x14ac:dyDescent="0.25">
      <c r="A321" s="3">
        <v>582</v>
      </c>
      <c r="B321" s="14"/>
      <c r="C321" s="11"/>
      <c r="D321" s="11"/>
      <c r="E321" s="11"/>
      <c r="F321" s="60"/>
      <c r="G321" s="16"/>
      <c r="H321" s="38"/>
      <c r="I321" s="32"/>
    </row>
    <row r="322" spans="1:9" s="3" customFormat="1" ht="8.4499999999999993" customHeight="1" x14ac:dyDescent="0.25">
      <c r="B322" s="12"/>
      <c r="C322" s="13"/>
      <c r="D322" s="13"/>
      <c r="E322" s="13"/>
      <c r="F322" s="61"/>
      <c r="G322" s="51"/>
      <c r="H322" s="39"/>
      <c r="I322" s="32"/>
    </row>
    <row r="323" spans="1:9" s="3" customFormat="1" ht="12" customHeight="1" x14ac:dyDescent="0.25">
      <c r="A323" s="3">
        <v>583</v>
      </c>
      <c r="B323" s="14"/>
      <c r="C323" s="11"/>
      <c r="D323" s="11"/>
      <c r="E323" s="11"/>
      <c r="F323" s="60"/>
      <c r="G323" s="16"/>
      <c r="H323" s="38"/>
      <c r="I323" s="32"/>
    </row>
    <row r="324" spans="1:9" s="3" customFormat="1" ht="8.4499999999999993" customHeight="1" x14ac:dyDescent="0.25">
      <c r="B324" s="12"/>
      <c r="C324" s="13"/>
      <c r="D324" s="13"/>
      <c r="E324" s="13"/>
      <c r="F324" s="61"/>
      <c r="G324" s="51"/>
      <c r="H324" s="39"/>
      <c r="I324" s="32"/>
    </row>
    <row r="325" spans="1:9" s="3" customFormat="1" ht="12" customHeight="1" x14ac:dyDescent="0.25">
      <c r="A325" s="3">
        <v>584</v>
      </c>
      <c r="B325" s="14"/>
      <c r="C325" s="11"/>
      <c r="D325" s="11"/>
      <c r="E325" s="11"/>
      <c r="F325" s="60"/>
      <c r="G325" s="16"/>
      <c r="H325" s="38"/>
      <c r="I325" s="32"/>
    </row>
    <row r="326" spans="1:9" s="3" customFormat="1" ht="8.4499999999999993" customHeight="1" x14ac:dyDescent="0.25">
      <c r="B326" s="12"/>
      <c r="C326" s="13"/>
      <c r="D326" s="13"/>
      <c r="E326" s="13"/>
      <c r="F326" s="61"/>
      <c r="G326" s="51"/>
      <c r="H326" s="39"/>
      <c r="I326" s="32"/>
    </row>
    <row r="327" spans="1:9" s="3" customFormat="1" ht="12" customHeight="1" x14ac:dyDescent="0.25">
      <c r="A327" s="3">
        <v>585</v>
      </c>
      <c r="B327" s="14"/>
      <c r="C327" s="11"/>
      <c r="D327" s="11"/>
      <c r="E327" s="11"/>
      <c r="F327" s="60"/>
      <c r="G327" s="16"/>
      <c r="H327" s="38"/>
      <c r="I327" s="32"/>
    </row>
    <row r="328" spans="1:9" s="3" customFormat="1" ht="8.4499999999999993" customHeight="1" x14ac:dyDescent="0.25">
      <c r="B328" s="12"/>
      <c r="C328" s="13"/>
      <c r="D328" s="13"/>
      <c r="E328" s="13"/>
      <c r="F328" s="61"/>
      <c r="G328" s="51"/>
      <c r="H328" s="39"/>
      <c r="I328" s="32"/>
    </row>
    <row r="329" spans="1:9" s="3" customFormat="1" ht="12" customHeight="1" x14ac:dyDescent="0.25">
      <c r="A329" s="3">
        <v>586</v>
      </c>
      <c r="B329" s="14"/>
      <c r="C329" s="11"/>
      <c r="D329" s="11"/>
      <c r="E329" s="11"/>
      <c r="F329" s="60"/>
      <c r="G329" s="16"/>
      <c r="H329" s="38"/>
      <c r="I329" s="32"/>
    </row>
    <row r="330" spans="1:9" s="3" customFormat="1" ht="8.4499999999999993" customHeight="1" x14ac:dyDescent="0.25">
      <c r="B330" s="12"/>
      <c r="C330" s="13"/>
      <c r="D330" s="13"/>
      <c r="E330" s="13"/>
      <c r="F330" s="61"/>
      <c r="G330" s="51"/>
      <c r="H330" s="39"/>
      <c r="I330" s="32"/>
    </row>
    <row r="331" spans="1:9" s="3" customFormat="1" ht="12" customHeight="1" x14ac:dyDescent="0.25">
      <c r="A331" s="3">
        <v>587</v>
      </c>
      <c r="B331" s="14"/>
      <c r="C331" s="11"/>
      <c r="D331" s="11"/>
      <c r="E331" s="11"/>
      <c r="F331" s="60"/>
      <c r="G331" s="16"/>
      <c r="H331" s="38"/>
      <c r="I331" s="32"/>
    </row>
    <row r="332" spans="1:9" s="3" customFormat="1" ht="8.4499999999999993" customHeight="1" x14ac:dyDescent="0.25">
      <c r="B332" s="12"/>
      <c r="C332" s="13"/>
      <c r="D332" s="13"/>
      <c r="E332" s="13"/>
      <c r="F332" s="61"/>
      <c r="G332" s="51"/>
      <c r="H332" s="39"/>
      <c r="I332" s="32"/>
    </row>
    <row r="333" spans="1:9" s="3" customFormat="1" ht="12" customHeight="1" x14ac:dyDescent="0.25">
      <c r="A333" s="3">
        <v>588</v>
      </c>
      <c r="B333" s="14"/>
      <c r="C333" s="11"/>
      <c r="D333" s="11"/>
      <c r="E333" s="11"/>
      <c r="F333" s="60"/>
      <c r="G333" s="16"/>
      <c r="H333" s="38"/>
      <c r="I333" s="32"/>
    </row>
    <row r="334" spans="1:9" s="3" customFormat="1" ht="8.4499999999999993" customHeight="1" x14ac:dyDescent="0.25">
      <c r="B334" s="12"/>
      <c r="C334" s="13"/>
      <c r="D334" s="13"/>
      <c r="E334" s="13"/>
      <c r="F334" s="61"/>
      <c r="G334" s="51"/>
      <c r="H334" s="39"/>
      <c r="I334" s="32"/>
    </row>
    <row r="335" spans="1:9" s="3" customFormat="1" ht="12" customHeight="1" x14ac:dyDescent="0.25">
      <c r="A335" s="3">
        <v>589</v>
      </c>
      <c r="B335" s="14"/>
      <c r="C335" s="11"/>
      <c r="D335" s="11"/>
      <c r="E335" s="11"/>
      <c r="F335" s="60"/>
      <c r="G335" s="16"/>
      <c r="H335" s="38"/>
      <c r="I335" s="32"/>
    </row>
    <row r="336" spans="1:9" s="3" customFormat="1" ht="8.4499999999999993" customHeight="1" x14ac:dyDescent="0.25">
      <c r="B336" s="12"/>
      <c r="C336" s="13"/>
      <c r="D336" s="13"/>
      <c r="E336" s="13"/>
      <c r="F336" s="61"/>
      <c r="G336" s="51"/>
      <c r="H336" s="39"/>
      <c r="I336" s="32"/>
    </row>
    <row r="337" spans="1:9" s="3" customFormat="1" ht="12" customHeight="1" x14ac:dyDescent="0.25">
      <c r="A337" s="3">
        <v>590</v>
      </c>
      <c r="B337" s="14"/>
      <c r="C337" s="11"/>
      <c r="D337" s="11"/>
      <c r="E337" s="11"/>
      <c r="F337" s="60"/>
      <c r="G337" s="16"/>
      <c r="H337" s="38"/>
      <c r="I337" s="32"/>
    </row>
    <row r="338" spans="1:9" s="3" customFormat="1" ht="8.4499999999999993" customHeight="1" x14ac:dyDescent="0.25">
      <c r="B338" s="12"/>
      <c r="C338" s="13"/>
      <c r="D338" s="13"/>
      <c r="E338" s="13"/>
      <c r="F338" s="61"/>
      <c r="G338" s="51"/>
      <c r="H338" s="39"/>
      <c r="I338" s="32"/>
    </row>
    <row r="339" spans="1:9" s="3" customFormat="1" ht="12" customHeight="1" x14ac:dyDescent="0.25">
      <c r="A339" s="3">
        <v>591</v>
      </c>
      <c r="B339" s="14"/>
      <c r="C339" s="11"/>
      <c r="D339" s="11"/>
      <c r="E339" s="11"/>
      <c r="F339" s="60"/>
      <c r="G339" s="16"/>
      <c r="H339" s="38"/>
      <c r="I339" s="32"/>
    </row>
    <row r="340" spans="1:9" s="3" customFormat="1" ht="8.4499999999999993" customHeight="1" x14ac:dyDescent="0.25">
      <c r="B340" s="12"/>
      <c r="C340" s="13"/>
      <c r="D340" s="13"/>
      <c r="E340" s="13"/>
      <c r="F340" s="61"/>
      <c r="G340" s="51"/>
      <c r="H340" s="39"/>
      <c r="I340" s="32"/>
    </row>
    <row r="341" spans="1:9" s="3" customFormat="1" ht="12" customHeight="1" x14ac:dyDescent="0.25">
      <c r="A341" s="3">
        <v>592</v>
      </c>
      <c r="B341" s="14"/>
      <c r="C341" s="11"/>
      <c r="D341" s="11"/>
      <c r="E341" s="11"/>
      <c r="F341" s="60"/>
      <c r="G341" s="16"/>
      <c r="H341" s="38"/>
      <c r="I341" s="32"/>
    </row>
    <row r="342" spans="1:9" s="3" customFormat="1" ht="8.4499999999999993" customHeight="1" x14ac:dyDescent="0.25">
      <c r="B342" s="12"/>
      <c r="C342" s="13"/>
      <c r="D342" s="13"/>
      <c r="E342" s="13"/>
      <c r="F342" s="61"/>
      <c r="G342" s="51"/>
      <c r="H342" s="39"/>
      <c r="I342" s="32"/>
    </row>
    <row r="343" spans="1:9" s="3" customFormat="1" ht="12" customHeight="1" x14ac:dyDescent="0.25">
      <c r="A343" s="3">
        <v>593</v>
      </c>
      <c r="B343" s="14"/>
      <c r="C343" s="11"/>
      <c r="D343" s="11"/>
      <c r="E343" s="11"/>
      <c r="F343" s="60"/>
      <c r="G343" s="16"/>
      <c r="H343" s="38"/>
      <c r="I343" s="32"/>
    </row>
    <row r="344" spans="1:9" s="3" customFormat="1" ht="8.4499999999999993" customHeight="1" x14ac:dyDescent="0.25">
      <c r="B344" s="12"/>
      <c r="C344" s="13"/>
      <c r="D344" s="13"/>
      <c r="E344" s="13"/>
      <c r="F344" s="61"/>
      <c r="G344" s="51"/>
      <c r="H344" s="39"/>
      <c r="I344" s="32"/>
    </row>
    <row r="345" spans="1:9" s="3" customFormat="1" ht="12" customHeight="1" x14ac:dyDescent="0.25">
      <c r="A345" s="3">
        <v>594</v>
      </c>
      <c r="B345" s="14"/>
      <c r="C345" s="11"/>
      <c r="D345" s="11"/>
      <c r="E345" s="11"/>
      <c r="F345" s="60"/>
      <c r="G345" s="16"/>
      <c r="H345" s="38"/>
      <c r="I345" s="32"/>
    </row>
    <row r="346" spans="1:9" s="3" customFormat="1" ht="8.4499999999999993" customHeight="1" x14ac:dyDescent="0.25">
      <c r="B346" s="12"/>
      <c r="C346" s="13"/>
      <c r="D346" s="13"/>
      <c r="E346" s="13"/>
      <c r="F346" s="61"/>
      <c r="G346" s="51"/>
      <c r="H346" s="39"/>
      <c r="I346" s="32"/>
    </row>
    <row r="347" spans="1:9" s="3" customFormat="1" ht="12" customHeight="1" x14ac:dyDescent="0.25">
      <c r="A347" s="3">
        <v>595</v>
      </c>
      <c r="B347" s="14"/>
      <c r="C347" s="11"/>
      <c r="D347" s="11"/>
      <c r="E347" s="11"/>
      <c r="F347" s="60"/>
      <c r="G347" s="16"/>
      <c r="H347" s="38"/>
      <c r="I347" s="32"/>
    </row>
    <row r="348" spans="1:9" s="3" customFormat="1" ht="8.4499999999999993" customHeight="1" x14ac:dyDescent="0.25">
      <c r="B348" s="12"/>
      <c r="C348" s="13"/>
      <c r="D348" s="13"/>
      <c r="E348" s="13"/>
      <c r="F348" s="61"/>
      <c r="G348" s="51"/>
      <c r="H348" s="39"/>
      <c r="I348" s="32"/>
    </row>
    <row r="349" spans="1:9" s="3" customFormat="1" ht="12" customHeight="1" x14ac:dyDescent="0.25">
      <c r="A349" s="3">
        <v>596</v>
      </c>
      <c r="B349" s="14"/>
      <c r="C349" s="11"/>
      <c r="D349" s="11"/>
      <c r="E349" s="11"/>
      <c r="F349" s="60"/>
      <c r="G349" s="16"/>
      <c r="H349" s="38"/>
      <c r="I349" s="32"/>
    </row>
    <row r="350" spans="1:9" s="3" customFormat="1" ht="8.4499999999999993" customHeight="1" x14ac:dyDescent="0.25">
      <c r="B350" s="12"/>
      <c r="C350" s="13"/>
      <c r="D350" s="13"/>
      <c r="E350" s="13"/>
      <c r="F350" s="61"/>
      <c r="G350" s="51"/>
      <c r="H350" s="39"/>
      <c r="I350" s="32"/>
    </row>
    <row r="351" spans="1:9" s="3" customFormat="1" ht="12" customHeight="1" x14ac:dyDescent="0.25">
      <c r="A351" s="3">
        <v>597</v>
      </c>
      <c r="B351" s="14"/>
      <c r="C351" s="11"/>
      <c r="D351" s="11"/>
      <c r="E351" s="11"/>
      <c r="F351" s="60"/>
      <c r="G351" s="16"/>
      <c r="H351" s="38"/>
      <c r="I351" s="32"/>
    </row>
    <row r="352" spans="1:9" s="3" customFormat="1" ht="8.4499999999999993" customHeight="1" x14ac:dyDescent="0.25">
      <c r="B352" s="12"/>
      <c r="C352" s="13"/>
      <c r="D352" s="13"/>
      <c r="E352" s="13"/>
      <c r="F352" s="61"/>
      <c r="G352" s="51"/>
      <c r="H352" s="39"/>
      <c r="I352" s="32"/>
    </row>
    <row r="353" spans="1:9" s="3" customFormat="1" ht="12" customHeight="1" x14ac:dyDescent="0.25">
      <c r="A353" s="3">
        <v>598</v>
      </c>
      <c r="B353" s="14"/>
      <c r="C353" s="11"/>
      <c r="D353" s="11"/>
      <c r="E353" s="11"/>
      <c r="F353" s="60"/>
      <c r="G353" s="16"/>
      <c r="H353" s="38"/>
      <c r="I353" s="32"/>
    </row>
    <row r="354" spans="1:9" s="3" customFormat="1" ht="8.4499999999999993" customHeight="1" x14ac:dyDescent="0.25">
      <c r="B354" s="12"/>
      <c r="C354" s="13"/>
      <c r="D354" s="13"/>
      <c r="E354" s="13"/>
      <c r="F354" s="61"/>
      <c r="G354" s="51"/>
      <c r="H354" s="39"/>
      <c r="I354" s="32"/>
    </row>
    <row r="355" spans="1:9" s="3" customFormat="1" ht="12" customHeight="1" x14ac:dyDescent="0.25">
      <c r="A355" s="3">
        <v>400</v>
      </c>
      <c r="B355" s="14"/>
      <c r="C355" s="11"/>
      <c r="D355" s="11"/>
      <c r="E355" s="11"/>
      <c r="F355" s="60"/>
      <c r="G355" s="16"/>
      <c r="H355" s="38"/>
      <c r="I355" s="32"/>
    </row>
    <row r="356" spans="1:9" s="3" customFormat="1" ht="8.4499999999999993" customHeight="1" x14ac:dyDescent="0.25">
      <c r="B356" s="12"/>
      <c r="C356" s="13"/>
      <c r="D356" s="13"/>
      <c r="E356" s="13"/>
      <c r="F356" s="61"/>
      <c r="G356" s="51"/>
      <c r="H356" s="39"/>
      <c r="I356" s="32"/>
    </row>
    <row r="357" spans="1:9" s="3" customFormat="1" ht="12" customHeight="1" x14ac:dyDescent="0.25">
      <c r="A357" s="3">
        <v>401</v>
      </c>
      <c r="B357" s="14"/>
      <c r="C357" s="11"/>
      <c r="D357" s="11"/>
      <c r="E357" s="11"/>
      <c r="F357" s="60"/>
      <c r="G357" s="16"/>
      <c r="H357" s="38"/>
      <c r="I357" s="32"/>
    </row>
    <row r="358" spans="1:9" s="3" customFormat="1" ht="8.4499999999999993" customHeight="1" x14ac:dyDescent="0.25">
      <c r="B358" s="12"/>
      <c r="C358" s="13"/>
      <c r="D358" s="13"/>
      <c r="E358" s="13"/>
      <c r="F358" s="61"/>
      <c r="G358" s="51"/>
      <c r="H358" s="39"/>
      <c r="I358" s="32"/>
    </row>
    <row r="359" spans="1:9" s="3" customFormat="1" ht="12" customHeight="1" x14ac:dyDescent="0.25">
      <c r="A359" s="3">
        <v>402</v>
      </c>
      <c r="B359" s="14"/>
      <c r="C359" s="11"/>
      <c r="D359" s="11"/>
      <c r="E359" s="11"/>
      <c r="F359" s="60"/>
      <c r="G359" s="16"/>
      <c r="H359" s="38"/>
      <c r="I359" s="32"/>
    </row>
    <row r="360" spans="1:9" s="3" customFormat="1" ht="8.4499999999999993" customHeight="1" x14ac:dyDescent="0.25">
      <c r="B360" s="12"/>
      <c r="C360" s="13"/>
      <c r="D360" s="13"/>
      <c r="E360" s="13"/>
      <c r="F360" s="61"/>
      <c r="G360" s="51"/>
      <c r="H360" s="39"/>
      <c r="I360" s="32"/>
    </row>
    <row r="361" spans="1:9" s="3" customFormat="1" ht="12" customHeight="1" x14ac:dyDescent="0.25">
      <c r="A361" s="3">
        <v>403</v>
      </c>
      <c r="B361" s="14"/>
      <c r="C361" s="11"/>
      <c r="D361" s="11"/>
      <c r="E361" s="11"/>
      <c r="F361" s="60"/>
      <c r="G361" s="16"/>
      <c r="H361" s="38"/>
      <c r="I361" s="32"/>
    </row>
    <row r="362" spans="1:9" s="3" customFormat="1" ht="8.4499999999999993" customHeight="1" x14ac:dyDescent="0.25">
      <c r="B362" s="12"/>
      <c r="C362" s="13"/>
      <c r="D362" s="13"/>
      <c r="E362" s="13"/>
      <c r="F362" s="61"/>
      <c r="G362" s="51"/>
      <c r="H362" s="39"/>
      <c r="I362" s="32"/>
    </row>
    <row r="363" spans="1:9" s="3" customFormat="1" ht="12" customHeight="1" x14ac:dyDescent="0.25">
      <c r="A363" s="3">
        <v>404</v>
      </c>
      <c r="B363" s="14"/>
      <c r="C363" s="11"/>
      <c r="D363" s="11"/>
      <c r="E363" s="11"/>
      <c r="F363" s="60"/>
      <c r="G363" s="16"/>
      <c r="H363" s="38"/>
      <c r="I363" s="32"/>
    </row>
    <row r="364" spans="1:9" s="3" customFormat="1" ht="8.4499999999999993" customHeight="1" x14ac:dyDescent="0.25">
      <c r="B364" s="12"/>
      <c r="C364" s="13"/>
      <c r="D364" s="13"/>
      <c r="E364" s="13"/>
      <c r="F364" s="61"/>
      <c r="G364" s="51"/>
      <c r="H364" s="39"/>
      <c r="I364" s="32"/>
    </row>
    <row r="365" spans="1:9" s="3" customFormat="1" ht="12" customHeight="1" x14ac:dyDescent="0.25">
      <c r="A365" s="3">
        <v>405</v>
      </c>
      <c r="B365" s="14"/>
      <c r="C365" s="11"/>
      <c r="D365" s="11"/>
      <c r="E365" s="11"/>
      <c r="F365" s="60"/>
      <c r="G365" s="16"/>
      <c r="H365" s="38"/>
      <c r="I365" s="32"/>
    </row>
    <row r="366" spans="1:9" s="3" customFormat="1" ht="8.4499999999999993" customHeight="1" x14ac:dyDescent="0.25">
      <c r="B366" s="12"/>
      <c r="C366" s="13"/>
      <c r="D366" s="13"/>
      <c r="E366" s="13"/>
      <c r="F366" s="61"/>
      <c r="G366" s="51"/>
      <c r="H366" s="39"/>
      <c r="I366" s="32"/>
    </row>
    <row r="367" spans="1:9" s="3" customFormat="1" ht="12" customHeight="1" x14ac:dyDescent="0.25">
      <c r="A367" s="3">
        <v>406</v>
      </c>
      <c r="B367" s="14"/>
      <c r="C367" s="11"/>
      <c r="D367" s="11"/>
      <c r="E367" s="11"/>
      <c r="F367" s="60"/>
      <c r="G367" s="16"/>
      <c r="H367" s="38"/>
      <c r="I367" s="32"/>
    </row>
    <row r="368" spans="1:9" s="3" customFormat="1" ht="8.4499999999999993" customHeight="1" x14ac:dyDescent="0.25">
      <c r="B368" s="12"/>
      <c r="C368" s="13"/>
      <c r="D368" s="13"/>
      <c r="E368" s="13"/>
      <c r="F368" s="61"/>
      <c r="G368" s="51"/>
      <c r="H368" s="39"/>
      <c r="I368" s="32"/>
    </row>
    <row r="369" spans="1:9" s="3" customFormat="1" ht="12" customHeight="1" x14ac:dyDescent="0.25">
      <c r="A369" s="3">
        <v>407</v>
      </c>
      <c r="B369" s="14"/>
      <c r="C369" s="11"/>
      <c r="D369" s="11"/>
      <c r="E369" s="11"/>
      <c r="F369" s="60"/>
      <c r="G369" s="16"/>
      <c r="H369" s="38"/>
      <c r="I369" s="32"/>
    </row>
    <row r="370" spans="1:9" s="3" customFormat="1" ht="8.4499999999999993" customHeight="1" x14ac:dyDescent="0.25">
      <c r="B370" s="12"/>
      <c r="C370" s="13"/>
      <c r="D370" s="13"/>
      <c r="E370" s="13"/>
      <c r="F370" s="61"/>
      <c r="G370" s="51"/>
      <c r="H370" s="39"/>
      <c r="I370" s="32"/>
    </row>
    <row r="371" spans="1:9" s="3" customFormat="1" ht="12" customHeight="1" x14ac:dyDescent="0.25">
      <c r="A371" s="3">
        <v>408</v>
      </c>
      <c r="B371" s="14"/>
      <c r="C371" s="11"/>
      <c r="D371" s="11"/>
      <c r="E371" s="11"/>
      <c r="F371" s="60"/>
      <c r="G371" s="16"/>
      <c r="H371" s="38"/>
      <c r="I371" s="32"/>
    </row>
    <row r="372" spans="1:9" s="3" customFormat="1" ht="8.4499999999999993" customHeight="1" x14ac:dyDescent="0.25">
      <c r="B372" s="12"/>
      <c r="C372" s="13"/>
      <c r="D372" s="13"/>
      <c r="E372" s="13"/>
      <c r="F372" s="61"/>
      <c r="G372" s="51"/>
      <c r="H372" s="39"/>
      <c r="I372" s="32"/>
    </row>
    <row r="373" spans="1:9" s="3" customFormat="1" ht="12" customHeight="1" x14ac:dyDescent="0.25">
      <c r="B373" s="14"/>
      <c r="C373" s="11"/>
      <c r="D373" s="11"/>
      <c r="E373" s="11"/>
      <c r="F373" s="60"/>
      <c r="G373" s="16"/>
      <c r="H373" s="38"/>
      <c r="I373" s="32"/>
    </row>
    <row r="374" spans="1:9" s="3" customFormat="1" ht="8.4499999999999993" customHeight="1" x14ac:dyDescent="0.25">
      <c r="B374" s="12"/>
      <c r="C374" s="13"/>
      <c r="D374" s="13"/>
      <c r="E374" s="13"/>
      <c r="F374" s="61"/>
      <c r="G374" s="51"/>
      <c r="H374" s="39"/>
      <c r="I374" s="32"/>
    </row>
    <row r="375" spans="1:9" s="3" customFormat="1" ht="12" customHeight="1" x14ac:dyDescent="0.25">
      <c r="B375" s="14"/>
      <c r="C375" s="11"/>
      <c r="D375" s="11"/>
      <c r="E375" s="11"/>
      <c r="F375" s="60"/>
      <c r="G375" s="16"/>
      <c r="H375" s="38"/>
      <c r="I375" s="32"/>
    </row>
    <row r="376" spans="1:9" s="3" customFormat="1" ht="8.4499999999999993" customHeight="1" x14ac:dyDescent="0.25">
      <c r="B376" s="12"/>
      <c r="C376" s="13"/>
      <c r="D376" s="13"/>
      <c r="E376" s="13"/>
      <c r="F376" s="61"/>
      <c r="G376" s="51"/>
      <c r="H376" s="39"/>
      <c r="I376" s="32"/>
    </row>
    <row r="377" spans="1:9" s="3" customFormat="1" ht="12" customHeight="1" x14ac:dyDescent="0.25">
      <c r="A377" s="3">
        <v>409</v>
      </c>
      <c r="B377" s="14"/>
      <c r="C377" s="11"/>
      <c r="D377" s="11"/>
      <c r="E377" s="11"/>
      <c r="F377" s="60"/>
      <c r="G377" s="16"/>
      <c r="H377" s="38"/>
      <c r="I377" s="32"/>
    </row>
    <row r="378" spans="1:9" s="3" customFormat="1" ht="8.4499999999999993" customHeight="1" x14ac:dyDescent="0.25">
      <c r="B378" s="12"/>
      <c r="C378" s="13"/>
      <c r="D378" s="13"/>
      <c r="E378" s="13"/>
      <c r="F378" s="61"/>
      <c r="G378" s="51"/>
      <c r="H378" s="39"/>
      <c r="I378" s="32"/>
    </row>
    <row r="379" spans="1:9" s="4" customFormat="1" ht="20.100000000000001" customHeight="1" x14ac:dyDescent="0.25">
      <c r="B379" s="17" t="s">
        <v>52</v>
      </c>
      <c r="C379" s="18"/>
      <c r="D379" s="18"/>
      <c r="E379" s="18"/>
      <c r="F379" s="62"/>
      <c r="G379" s="29"/>
      <c r="H379" s="19">
        <f>SUM(H314:H378)</f>
        <v>4476433.82</v>
      </c>
      <c r="I379" s="33"/>
    </row>
    <row r="380" spans="1:9" s="1" customFormat="1" ht="26.25" customHeight="1" x14ac:dyDescent="0.25">
      <c r="B380" s="74" t="s">
        <v>456</v>
      </c>
      <c r="C380" s="74"/>
      <c r="D380" s="74"/>
      <c r="E380" s="74"/>
      <c r="F380" s="74"/>
      <c r="G380" s="74"/>
      <c r="H380" s="74"/>
      <c r="I380" s="30"/>
    </row>
    <row r="381" spans="1:9" s="2" customFormat="1" ht="12" x14ac:dyDescent="0.25">
      <c r="D381" s="46"/>
      <c r="F381" s="58"/>
      <c r="G381" s="49"/>
      <c r="H381" s="36" t="s">
        <v>220</v>
      </c>
      <c r="I381" s="31"/>
    </row>
    <row r="382" spans="1:9" s="3" customFormat="1" ht="27.4" customHeight="1" x14ac:dyDescent="0.25">
      <c r="B382" s="7" t="s">
        <v>1</v>
      </c>
      <c r="C382" s="7" t="s">
        <v>2</v>
      </c>
      <c r="D382" s="7" t="s">
        <v>3</v>
      </c>
      <c r="E382" s="7" t="s">
        <v>4</v>
      </c>
      <c r="F382" s="59" t="s">
        <v>5</v>
      </c>
      <c r="G382" s="50" t="s">
        <v>6</v>
      </c>
      <c r="H382" s="37" t="s">
        <v>7</v>
      </c>
      <c r="I382" s="32"/>
    </row>
    <row r="383" spans="1:9" s="3" customFormat="1" ht="12" customHeight="1" x14ac:dyDescent="0.25">
      <c r="A383" s="3">
        <v>699</v>
      </c>
      <c r="B383" s="8" t="s">
        <v>87</v>
      </c>
      <c r="C383" s="11"/>
      <c r="D383" s="10" t="s">
        <v>221</v>
      </c>
      <c r="E383" s="11"/>
      <c r="F383" s="60"/>
      <c r="G383" s="16"/>
      <c r="H383" s="38"/>
      <c r="I383" s="32"/>
    </row>
    <row r="384" spans="1:9" s="3" customFormat="1" ht="8.4499999999999993" customHeight="1" x14ac:dyDescent="0.25">
      <c r="B384" s="12"/>
      <c r="C384" s="13"/>
      <c r="D384" s="13"/>
      <c r="E384" s="13"/>
      <c r="F384" s="61"/>
      <c r="G384" s="51"/>
      <c r="H384" s="39"/>
      <c r="I384" s="32"/>
    </row>
    <row r="385" spans="1:9" s="3" customFormat="1" ht="24" customHeight="1" x14ac:dyDescent="0.25">
      <c r="A385" s="3">
        <v>700</v>
      </c>
      <c r="B385" s="8" t="s">
        <v>222</v>
      </c>
      <c r="C385" s="9" t="s">
        <v>223</v>
      </c>
      <c r="D385" s="10" t="s">
        <v>224</v>
      </c>
      <c r="E385" s="11"/>
      <c r="F385" s="60"/>
      <c r="G385" s="16"/>
      <c r="H385" s="38"/>
      <c r="I385" s="32"/>
    </row>
    <row r="386" spans="1:9" s="3" customFormat="1" ht="8.4499999999999993" customHeight="1" x14ac:dyDescent="0.25">
      <c r="B386" s="12"/>
      <c r="C386" s="13"/>
      <c r="D386" s="13"/>
      <c r="E386" s="13"/>
      <c r="F386" s="61"/>
      <c r="G386" s="51"/>
      <c r="H386" s="39"/>
      <c r="I386" s="32"/>
    </row>
    <row r="387" spans="1:9" s="3" customFormat="1" ht="24" customHeight="1" x14ac:dyDescent="0.25">
      <c r="A387" s="3">
        <v>701</v>
      </c>
      <c r="B387" s="14"/>
      <c r="C387" s="11"/>
      <c r="D387" s="10" t="s">
        <v>225</v>
      </c>
      <c r="E387" s="11"/>
      <c r="F387" s="60"/>
      <c r="G387" s="16"/>
      <c r="H387" s="38"/>
      <c r="I387" s="32"/>
    </row>
    <row r="388" spans="1:9" s="3" customFormat="1" ht="8.4499999999999993" customHeight="1" x14ac:dyDescent="0.25">
      <c r="B388" s="12"/>
      <c r="C388" s="13"/>
      <c r="D388" s="13"/>
      <c r="E388" s="13"/>
      <c r="F388" s="61"/>
      <c r="G388" s="51"/>
      <c r="H388" s="39"/>
      <c r="I388" s="32"/>
    </row>
    <row r="389" spans="1:9" s="3" customFormat="1" ht="108" customHeight="1" x14ac:dyDescent="0.25">
      <c r="A389" s="3">
        <v>703</v>
      </c>
      <c r="B389" s="14"/>
      <c r="C389" s="9" t="s">
        <v>18</v>
      </c>
      <c r="D389" s="9" t="s">
        <v>226</v>
      </c>
      <c r="E389" s="11"/>
      <c r="F389" s="60"/>
      <c r="G389" s="16"/>
      <c r="H389" s="38"/>
      <c r="I389" s="32"/>
    </row>
    <row r="390" spans="1:9" s="3" customFormat="1" ht="8.4499999999999993" customHeight="1" x14ac:dyDescent="0.25">
      <c r="B390" s="12"/>
      <c r="C390" s="13"/>
      <c r="D390" s="13"/>
      <c r="E390" s="13"/>
      <c r="F390" s="61"/>
      <c r="G390" s="51"/>
      <c r="H390" s="39"/>
      <c r="I390" s="32"/>
    </row>
    <row r="391" spans="1:9" s="3" customFormat="1" ht="24" customHeight="1" x14ac:dyDescent="0.25">
      <c r="A391" s="3">
        <v>705</v>
      </c>
      <c r="B391" s="14"/>
      <c r="C391" s="9" t="s">
        <v>18</v>
      </c>
      <c r="D391" s="10" t="s">
        <v>227</v>
      </c>
      <c r="E391" s="11"/>
      <c r="F391" s="60"/>
      <c r="G391" s="16"/>
      <c r="H391" s="38"/>
      <c r="I391" s="32"/>
    </row>
    <row r="392" spans="1:9" s="3" customFormat="1" ht="8.4499999999999993" customHeight="1" x14ac:dyDescent="0.25">
      <c r="B392" s="12"/>
      <c r="C392" s="13"/>
      <c r="D392" s="13"/>
      <c r="E392" s="13"/>
      <c r="F392" s="61"/>
      <c r="G392" s="51"/>
      <c r="H392" s="39"/>
      <c r="I392" s="32"/>
    </row>
    <row r="393" spans="1:9" s="3" customFormat="1" ht="11.25" customHeight="1" x14ac:dyDescent="0.25">
      <c r="A393" s="3">
        <v>707</v>
      </c>
      <c r="B393" s="8" t="s">
        <v>228</v>
      </c>
      <c r="C393" s="11"/>
      <c r="D393" s="10" t="s">
        <v>229</v>
      </c>
      <c r="E393" s="15" t="s">
        <v>118</v>
      </c>
      <c r="F393" s="71">
        <f>2.033+23.573</f>
        <v>25.606000000000002</v>
      </c>
      <c r="G393" s="16">
        <v>210.5</v>
      </c>
      <c r="H393" s="16" t="s">
        <v>450</v>
      </c>
      <c r="I393" s="32"/>
    </row>
    <row r="394" spans="1:9" s="3" customFormat="1" ht="8.4499999999999993" customHeight="1" x14ac:dyDescent="0.25">
      <c r="B394" s="12"/>
      <c r="C394" s="13"/>
      <c r="D394" s="13"/>
      <c r="E394" s="13"/>
      <c r="F394" s="70"/>
      <c r="G394" s="51"/>
      <c r="H394" s="39"/>
      <c r="I394" s="32"/>
    </row>
    <row r="395" spans="1:9" s="3" customFormat="1" ht="12" customHeight="1" x14ac:dyDescent="0.25">
      <c r="A395" s="3">
        <v>709</v>
      </c>
      <c r="B395" s="8" t="s">
        <v>230</v>
      </c>
      <c r="C395" s="11"/>
      <c r="D395" s="10" t="s">
        <v>231</v>
      </c>
      <c r="E395" s="15" t="s">
        <v>118</v>
      </c>
      <c r="F395" s="71">
        <f>1908.391+2013.226</f>
        <v>3921.6170000000002</v>
      </c>
      <c r="G395" s="16">
        <v>220</v>
      </c>
      <c r="H395" s="16" t="s">
        <v>450</v>
      </c>
      <c r="I395" s="32"/>
    </row>
    <row r="396" spans="1:9" s="3" customFormat="1" ht="8.4499999999999993" customHeight="1" x14ac:dyDescent="0.25">
      <c r="B396" s="12"/>
      <c r="C396" s="13"/>
      <c r="D396" s="13"/>
      <c r="E396" s="13"/>
      <c r="F396" s="70"/>
      <c r="G396" s="51"/>
      <c r="H396" s="39"/>
      <c r="I396" s="32"/>
    </row>
    <row r="397" spans="1:9" s="3" customFormat="1" ht="12" customHeight="1" x14ac:dyDescent="0.25">
      <c r="A397" s="3">
        <v>900</v>
      </c>
      <c r="B397" s="8" t="s">
        <v>232</v>
      </c>
      <c r="C397" s="11"/>
      <c r="D397" s="10" t="s">
        <v>233</v>
      </c>
      <c r="E397" s="15" t="s">
        <v>118</v>
      </c>
      <c r="F397" s="71">
        <f>809.17+6.051</f>
        <v>815.221</v>
      </c>
      <c r="G397" s="16">
        <v>270.33</v>
      </c>
      <c r="H397" s="16" t="s">
        <v>450</v>
      </c>
      <c r="I397" s="32"/>
    </row>
    <row r="398" spans="1:9" s="3" customFormat="1" ht="8.4499999999999993" customHeight="1" x14ac:dyDescent="0.25">
      <c r="B398" s="12"/>
      <c r="C398" s="13"/>
      <c r="D398" s="13"/>
      <c r="E398" s="13"/>
      <c r="F398" s="69"/>
      <c r="G398" s="51"/>
      <c r="H398" s="39"/>
      <c r="I398" s="32"/>
    </row>
    <row r="399" spans="1:9" s="3" customFormat="1" ht="12" customHeight="1" x14ac:dyDescent="0.25">
      <c r="A399" s="3">
        <v>902</v>
      </c>
      <c r="B399" s="8" t="s">
        <v>234</v>
      </c>
      <c r="C399" s="11"/>
      <c r="D399" s="10" t="s">
        <v>235</v>
      </c>
      <c r="E399" s="15" t="s">
        <v>118</v>
      </c>
      <c r="F399" s="68">
        <v>0</v>
      </c>
      <c r="G399" s="16">
        <v>350</v>
      </c>
      <c r="H399" s="16" t="s">
        <v>450</v>
      </c>
      <c r="I399" s="32"/>
    </row>
    <row r="400" spans="1:9" s="3" customFormat="1" ht="8.4499999999999993" customHeight="1" x14ac:dyDescent="0.25">
      <c r="B400" s="12"/>
      <c r="C400" s="13"/>
      <c r="D400" s="13"/>
      <c r="E400" s="13"/>
      <c r="F400" s="61"/>
      <c r="G400" s="51"/>
      <c r="H400" s="39"/>
      <c r="I400" s="32"/>
    </row>
    <row r="401" spans="1:9" s="3" customFormat="1" ht="12" customHeight="1" x14ac:dyDescent="0.25">
      <c r="A401" s="3">
        <v>904</v>
      </c>
      <c r="B401" s="8" t="s">
        <v>236</v>
      </c>
      <c r="C401" s="11"/>
      <c r="D401" s="10" t="s">
        <v>237</v>
      </c>
      <c r="E401" s="15" t="s">
        <v>118</v>
      </c>
      <c r="F401" s="60">
        <v>0</v>
      </c>
      <c r="G401" s="16"/>
      <c r="H401" s="16" t="s">
        <v>450</v>
      </c>
      <c r="I401" s="32"/>
    </row>
    <row r="402" spans="1:9" s="3" customFormat="1" ht="8.4499999999999993" customHeight="1" x14ac:dyDescent="0.25">
      <c r="B402" s="12"/>
      <c r="C402" s="13"/>
      <c r="D402" s="13"/>
      <c r="E402" s="13"/>
      <c r="F402" s="61"/>
      <c r="G402" s="51"/>
      <c r="H402" s="39"/>
      <c r="I402" s="32"/>
    </row>
    <row r="403" spans="1:9" s="3" customFormat="1" ht="12" customHeight="1" x14ac:dyDescent="0.25">
      <c r="A403" s="3">
        <v>906</v>
      </c>
      <c r="B403" s="14"/>
      <c r="C403" s="9" t="s">
        <v>18</v>
      </c>
      <c r="D403" s="10" t="s">
        <v>238</v>
      </c>
      <c r="E403" s="11"/>
      <c r="F403" s="60"/>
      <c r="G403" s="16"/>
      <c r="H403" s="38"/>
      <c r="I403" s="32"/>
    </row>
    <row r="404" spans="1:9" s="3" customFormat="1" ht="8.4499999999999993" customHeight="1" x14ac:dyDescent="0.25">
      <c r="B404" s="12"/>
      <c r="C404" s="13"/>
      <c r="D404" s="13"/>
      <c r="E404" s="13"/>
      <c r="F404" s="61"/>
      <c r="G404" s="51"/>
      <c r="H404" s="39"/>
      <c r="I404" s="32"/>
    </row>
    <row r="405" spans="1:9" s="3" customFormat="1" ht="24" customHeight="1" x14ac:dyDescent="0.25">
      <c r="A405" s="3">
        <v>907</v>
      </c>
      <c r="B405" s="8" t="s">
        <v>239</v>
      </c>
      <c r="C405" s="11"/>
      <c r="D405" s="10" t="s">
        <v>240</v>
      </c>
      <c r="E405" s="15" t="s">
        <v>124</v>
      </c>
      <c r="F405" s="68">
        <v>1933.9970000000001</v>
      </c>
      <c r="G405" s="16">
        <v>600</v>
      </c>
      <c r="H405" s="16">
        <f>F405*G405</f>
        <v>1160398.2</v>
      </c>
      <c r="I405" s="32"/>
    </row>
    <row r="406" spans="1:9" s="3" customFormat="1" ht="8.4499999999999993" customHeight="1" x14ac:dyDescent="0.25">
      <c r="B406" s="12"/>
      <c r="C406" s="13"/>
      <c r="D406" s="13"/>
      <c r="E406" s="13"/>
      <c r="F406" s="69"/>
      <c r="G406" s="51"/>
      <c r="H406" s="39"/>
      <c r="I406" s="32"/>
    </row>
    <row r="407" spans="1:9" s="3" customFormat="1" ht="24" x14ac:dyDescent="0.25">
      <c r="A407" s="3">
        <v>908</v>
      </c>
      <c r="B407" s="8" t="s">
        <v>241</v>
      </c>
      <c r="C407" s="11"/>
      <c r="D407" s="10" t="s">
        <v>242</v>
      </c>
      <c r="E407" s="15" t="s">
        <v>124</v>
      </c>
      <c r="F407" s="68">
        <v>2828.4470000000001</v>
      </c>
      <c r="G407" s="16">
        <v>2050</v>
      </c>
      <c r="H407" s="16">
        <f>F407*G407</f>
        <v>5798316.3499999996</v>
      </c>
      <c r="I407" s="32"/>
    </row>
    <row r="408" spans="1:9" s="3" customFormat="1" ht="8.4499999999999993" customHeight="1" x14ac:dyDescent="0.25">
      <c r="B408" s="12"/>
      <c r="C408" s="13"/>
      <c r="D408" s="13"/>
      <c r="E408" s="13"/>
      <c r="F408" s="61"/>
      <c r="G408" s="51"/>
      <c r="H408" s="39"/>
      <c r="I408" s="32"/>
    </row>
    <row r="409" spans="1:9" s="3" customFormat="1" ht="12" customHeight="1" x14ac:dyDescent="0.25">
      <c r="A409" s="3">
        <v>910</v>
      </c>
      <c r="B409" s="8" t="s">
        <v>243</v>
      </c>
      <c r="C409" s="9" t="s">
        <v>37</v>
      </c>
      <c r="D409" s="10" t="s">
        <v>244</v>
      </c>
      <c r="E409" s="11"/>
      <c r="F409" s="60"/>
      <c r="G409" s="16"/>
      <c r="H409" s="38"/>
      <c r="I409" s="32"/>
    </row>
    <row r="410" spans="1:9" s="3" customFormat="1" ht="8.4499999999999993" customHeight="1" x14ac:dyDescent="0.25">
      <c r="B410" s="12"/>
      <c r="C410" s="13"/>
      <c r="D410" s="13"/>
      <c r="E410" s="13"/>
      <c r="F410" s="61"/>
      <c r="G410" s="51"/>
      <c r="H410" s="39"/>
      <c r="I410" s="32"/>
    </row>
    <row r="411" spans="1:9" s="3" customFormat="1" ht="12" customHeight="1" x14ac:dyDescent="0.25">
      <c r="A411" s="3">
        <v>912</v>
      </c>
      <c r="B411" s="14"/>
      <c r="C411" s="9" t="s">
        <v>127</v>
      </c>
      <c r="D411" s="10" t="s">
        <v>128</v>
      </c>
      <c r="E411" s="11"/>
      <c r="F411" s="60"/>
      <c r="G411" s="16"/>
      <c r="H411" s="38"/>
      <c r="I411" s="32"/>
    </row>
    <row r="412" spans="1:9" s="3" customFormat="1" ht="8.4499999999999993" customHeight="1" x14ac:dyDescent="0.25">
      <c r="B412" s="12"/>
      <c r="C412" s="13"/>
      <c r="D412" s="13"/>
      <c r="E412" s="13"/>
      <c r="F412" s="61"/>
      <c r="G412" s="51"/>
      <c r="H412" s="39"/>
      <c r="I412" s="32"/>
    </row>
    <row r="413" spans="1:9" s="3" customFormat="1" ht="12" customHeight="1" x14ac:dyDescent="0.25">
      <c r="A413" s="3">
        <v>914</v>
      </c>
      <c r="B413" s="8" t="s">
        <v>245</v>
      </c>
      <c r="C413" s="9" t="s">
        <v>246</v>
      </c>
      <c r="D413" s="10" t="s">
        <v>130</v>
      </c>
      <c r="E413" s="15" t="s">
        <v>124</v>
      </c>
      <c r="F413" s="60"/>
      <c r="G413" s="16"/>
      <c r="H413" s="38"/>
      <c r="I413" s="32"/>
    </row>
    <row r="414" spans="1:9" s="3" customFormat="1" ht="8.4499999999999993" customHeight="1" x14ac:dyDescent="0.25">
      <c r="B414" s="12"/>
      <c r="C414" s="13"/>
      <c r="D414" s="13"/>
      <c r="E414" s="13"/>
      <c r="F414" s="61"/>
      <c r="G414" s="51"/>
      <c r="H414" s="39"/>
      <c r="I414" s="32"/>
    </row>
    <row r="415" spans="1:9" s="3" customFormat="1" ht="12" customHeight="1" x14ac:dyDescent="0.25">
      <c r="A415" s="3">
        <v>915</v>
      </c>
      <c r="B415" s="8" t="s">
        <v>247</v>
      </c>
      <c r="C415" s="9" t="s">
        <v>248</v>
      </c>
      <c r="D415" s="10" t="s">
        <v>249</v>
      </c>
      <c r="E415" s="15" t="s">
        <v>124</v>
      </c>
      <c r="F415" s="66">
        <v>3061.93</v>
      </c>
      <c r="G415" s="16">
        <v>105</v>
      </c>
      <c r="H415" s="16">
        <f>F415*G415</f>
        <v>321502.65000000002</v>
      </c>
      <c r="I415" s="32"/>
    </row>
    <row r="416" spans="1:9" s="3" customFormat="1" ht="8.4499999999999993" customHeight="1" x14ac:dyDescent="0.25">
      <c r="B416" s="12"/>
      <c r="C416" s="13"/>
      <c r="D416" s="13"/>
      <c r="E416" s="13"/>
      <c r="F416" s="61"/>
      <c r="G416" s="51"/>
      <c r="H416" s="39"/>
      <c r="I416" s="32"/>
    </row>
    <row r="417" spans="1:9" s="3" customFormat="1" ht="24" customHeight="1" x14ac:dyDescent="0.25">
      <c r="A417" s="3">
        <v>917</v>
      </c>
      <c r="B417" s="8" t="s">
        <v>250</v>
      </c>
      <c r="C417" s="9" t="s">
        <v>251</v>
      </c>
      <c r="D417" s="10" t="s">
        <v>252</v>
      </c>
      <c r="E417" s="15" t="s">
        <v>124</v>
      </c>
      <c r="F417" s="60"/>
      <c r="G417" s="16"/>
      <c r="H417" s="38"/>
      <c r="I417" s="32"/>
    </row>
    <row r="418" spans="1:9" s="3" customFormat="1" ht="8.4499999999999993" customHeight="1" x14ac:dyDescent="0.25">
      <c r="B418" s="12"/>
      <c r="C418" s="13"/>
      <c r="D418" s="13"/>
      <c r="E418" s="13"/>
      <c r="F418" s="61"/>
      <c r="G418" s="51"/>
      <c r="H418" s="39"/>
      <c r="I418" s="32"/>
    </row>
    <row r="419" spans="1:9" s="3" customFormat="1" ht="12" customHeight="1" x14ac:dyDescent="0.25">
      <c r="A419" s="3">
        <v>919</v>
      </c>
      <c r="B419" s="8" t="s">
        <v>253</v>
      </c>
      <c r="C419" s="9" t="s">
        <v>254</v>
      </c>
      <c r="D419" s="10" t="s">
        <v>255</v>
      </c>
      <c r="E419" s="15" t="s">
        <v>17</v>
      </c>
      <c r="F419" s="60"/>
      <c r="G419" s="16"/>
      <c r="H419" s="38"/>
      <c r="I419" s="32"/>
    </row>
    <row r="420" spans="1:9" s="3" customFormat="1" ht="8.4499999999999993" customHeight="1" x14ac:dyDescent="0.25">
      <c r="B420" s="12"/>
      <c r="C420" s="13"/>
      <c r="D420" s="13"/>
      <c r="E420" s="13"/>
      <c r="F420" s="61"/>
      <c r="G420" s="51"/>
      <c r="H420" s="39"/>
      <c r="I420" s="32"/>
    </row>
    <row r="421" spans="1:9" s="3" customFormat="1" ht="24" customHeight="1" x14ac:dyDescent="0.25">
      <c r="A421" s="3">
        <v>921</v>
      </c>
      <c r="B421" s="14"/>
      <c r="C421" s="9" t="s">
        <v>256</v>
      </c>
      <c r="D421" s="10" t="s">
        <v>257</v>
      </c>
      <c r="E421" s="11"/>
      <c r="F421" s="60"/>
      <c r="G421" s="16"/>
      <c r="H421" s="38"/>
      <c r="I421" s="32"/>
    </row>
    <row r="422" spans="1:9" s="3" customFormat="1" ht="8.4499999999999993" customHeight="1" x14ac:dyDescent="0.25">
      <c r="B422" s="12"/>
      <c r="C422" s="13"/>
      <c r="D422" s="13"/>
      <c r="E422" s="13"/>
      <c r="F422" s="61"/>
      <c r="G422" s="51"/>
      <c r="H422" s="39"/>
      <c r="I422" s="32"/>
    </row>
    <row r="423" spans="1:9" s="3" customFormat="1" ht="12" customHeight="1" x14ac:dyDescent="0.25">
      <c r="A423" s="3">
        <v>923</v>
      </c>
      <c r="B423" s="8" t="s">
        <v>258</v>
      </c>
      <c r="C423" s="9" t="s">
        <v>94</v>
      </c>
      <c r="D423" s="10" t="s">
        <v>259</v>
      </c>
      <c r="E423" s="15" t="s">
        <v>124</v>
      </c>
      <c r="F423" s="68">
        <f>1012.852/2</f>
        <v>506.42599999999999</v>
      </c>
      <c r="G423" s="16">
        <v>95</v>
      </c>
      <c r="H423" s="16">
        <f>F423*G423</f>
        <v>48110.47</v>
      </c>
      <c r="I423" s="32"/>
    </row>
    <row r="424" spans="1:9" s="3" customFormat="1" ht="8.4499999999999993" customHeight="1" x14ac:dyDescent="0.25">
      <c r="B424" s="12"/>
      <c r="C424" s="13"/>
      <c r="D424" s="13"/>
      <c r="E424" s="13"/>
      <c r="F424" s="69"/>
      <c r="G424" s="51"/>
      <c r="H424" s="39"/>
      <c r="I424" s="32"/>
    </row>
    <row r="425" spans="1:9" s="3" customFormat="1" ht="12" customHeight="1" x14ac:dyDescent="0.25">
      <c r="A425" s="3">
        <v>924</v>
      </c>
      <c r="B425" s="8" t="s">
        <v>260</v>
      </c>
      <c r="C425" s="9" t="s">
        <v>94</v>
      </c>
      <c r="D425" s="10" t="s">
        <v>261</v>
      </c>
      <c r="E425" s="15" t="s">
        <v>124</v>
      </c>
      <c r="F425" s="68">
        <f>607.326/2</f>
        <v>303.66300000000001</v>
      </c>
      <c r="G425" s="16">
        <v>95</v>
      </c>
      <c r="H425" s="16">
        <f>F425*G425</f>
        <v>28847.99</v>
      </c>
      <c r="I425" s="32"/>
    </row>
    <row r="426" spans="1:9" s="3" customFormat="1" ht="8.4499999999999993" customHeight="1" x14ac:dyDescent="0.25">
      <c r="B426" s="12"/>
      <c r="C426" s="13"/>
      <c r="D426" s="13"/>
      <c r="E426" s="13"/>
      <c r="F426" s="61"/>
      <c r="G426" s="51"/>
      <c r="H426" s="39"/>
      <c r="I426" s="32"/>
    </row>
    <row r="427" spans="1:9" s="3" customFormat="1" ht="16.5" customHeight="1" x14ac:dyDescent="0.25">
      <c r="A427" s="3">
        <v>926</v>
      </c>
      <c r="B427" s="14"/>
      <c r="C427" s="11"/>
      <c r="D427" s="10" t="s">
        <v>262</v>
      </c>
      <c r="E427" s="11"/>
      <c r="F427" s="60"/>
      <c r="G427" s="16"/>
      <c r="H427" s="38"/>
      <c r="I427" s="32"/>
    </row>
    <row r="428" spans="1:9" s="3" customFormat="1" ht="8.4499999999999993" customHeight="1" x14ac:dyDescent="0.25">
      <c r="B428" s="12"/>
      <c r="C428" s="13"/>
      <c r="D428" s="13"/>
      <c r="E428" s="13"/>
      <c r="F428" s="61"/>
      <c r="G428" s="51"/>
      <c r="H428" s="39"/>
      <c r="I428" s="32"/>
    </row>
    <row r="429" spans="1:9" s="3" customFormat="1" ht="24" customHeight="1" x14ac:dyDescent="0.25">
      <c r="A429" s="3">
        <v>927</v>
      </c>
      <c r="B429" s="14"/>
      <c r="C429" s="9" t="s">
        <v>263</v>
      </c>
      <c r="D429" s="10" t="s">
        <v>264</v>
      </c>
      <c r="E429" s="11"/>
      <c r="F429" s="60"/>
      <c r="G429" s="16"/>
      <c r="H429" s="38"/>
      <c r="I429" s="32"/>
    </row>
    <row r="430" spans="1:9" s="3" customFormat="1" ht="8.4499999999999993" customHeight="1" x14ac:dyDescent="0.25">
      <c r="B430" s="12"/>
      <c r="C430" s="13"/>
      <c r="D430" s="13"/>
      <c r="E430" s="13"/>
      <c r="F430" s="61"/>
      <c r="G430" s="51"/>
      <c r="H430" s="39"/>
      <c r="I430" s="32"/>
    </row>
    <row r="431" spans="1:9" s="3" customFormat="1" ht="12" customHeight="1" x14ac:dyDescent="0.25">
      <c r="A431" s="3">
        <v>916</v>
      </c>
      <c r="B431" s="14"/>
      <c r="C431" s="11"/>
      <c r="D431" s="11"/>
      <c r="E431" s="11"/>
      <c r="F431" s="60"/>
      <c r="G431" s="16"/>
      <c r="H431" s="38"/>
      <c r="I431" s="32"/>
    </row>
    <row r="432" spans="1:9" s="3" customFormat="1" ht="8.4499999999999993" customHeight="1" x14ac:dyDescent="0.25">
      <c r="B432" s="12"/>
      <c r="C432" s="13"/>
      <c r="D432" s="13"/>
      <c r="E432" s="13"/>
      <c r="F432" s="61"/>
      <c r="G432" s="51"/>
      <c r="H432" s="39"/>
      <c r="I432" s="32"/>
    </row>
    <row r="433" spans="1:9" s="4" customFormat="1" ht="20.100000000000001" customHeight="1" x14ac:dyDescent="0.25">
      <c r="B433" s="17" t="s">
        <v>52</v>
      </c>
      <c r="C433" s="18"/>
      <c r="D433" s="18"/>
      <c r="E433" s="18"/>
      <c r="F433" s="62"/>
      <c r="G433" s="29"/>
      <c r="H433" s="19">
        <f>SUM(H393:H432)</f>
        <v>7357175.6600000001</v>
      </c>
      <c r="I433" s="33"/>
    </row>
    <row r="434" spans="1:9" s="1" customFormat="1" ht="26.25" customHeight="1" x14ac:dyDescent="0.25">
      <c r="B434" s="74" t="s">
        <v>456</v>
      </c>
      <c r="C434" s="74"/>
      <c r="D434" s="74"/>
      <c r="E434" s="74"/>
      <c r="F434" s="74"/>
      <c r="G434" s="74"/>
      <c r="H434" s="74"/>
      <c r="I434" s="30"/>
    </row>
    <row r="435" spans="1:9" s="2" customFormat="1" ht="12" x14ac:dyDescent="0.25">
      <c r="D435" s="46"/>
      <c r="F435" s="58"/>
      <c r="G435" s="49"/>
      <c r="H435" s="36" t="s">
        <v>220</v>
      </c>
      <c r="I435" s="31"/>
    </row>
    <row r="436" spans="1:9" s="3" customFormat="1" ht="27.4" customHeight="1" x14ac:dyDescent="0.25">
      <c r="B436" s="7" t="s">
        <v>1</v>
      </c>
      <c r="C436" s="7" t="s">
        <v>2</v>
      </c>
      <c r="D436" s="7" t="s">
        <v>3</v>
      </c>
      <c r="E436" s="7" t="s">
        <v>4</v>
      </c>
      <c r="F436" s="59" t="s">
        <v>5</v>
      </c>
      <c r="G436" s="50" t="s">
        <v>6</v>
      </c>
      <c r="H436" s="37" t="s">
        <v>7</v>
      </c>
      <c r="I436" s="32"/>
    </row>
    <row r="437" spans="1:9" s="4" customFormat="1" ht="20.100000000000001" customHeight="1" x14ac:dyDescent="0.25">
      <c r="B437" s="17" t="s">
        <v>53</v>
      </c>
      <c r="C437" s="18"/>
      <c r="D437" s="18"/>
      <c r="E437" s="18"/>
      <c r="F437" s="62"/>
      <c r="G437" s="29"/>
      <c r="H437" s="19">
        <f>H433</f>
        <v>7357175.6600000001</v>
      </c>
      <c r="I437" s="33"/>
    </row>
    <row r="438" spans="1:9" s="3" customFormat="1" ht="12" customHeight="1" x14ac:dyDescent="0.25">
      <c r="A438" s="3">
        <v>929</v>
      </c>
      <c r="B438" s="8" t="s">
        <v>265</v>
      </c>
      <c r="C438" s="11"/>
      <c r="D438" s="10" t="s">
        <v>266</v>
      </c>
      <c r="E438" s="15" t="s">
        <v>124</v>
      </c>
      <c r="F438" s="60">
        <v>506.43</v>
      </c>
      <c r="G438" s="16">
        <v>95</v>
      </c>
      <c r="H438" s="16">
        <f>F438*G438</f>
        <v>48110.85</v>
      </c>
      <c r="I438" s="32"/>
    </row>
    <row r="439" spans="1:9" s="3" customFormat="1" ht="8.4499999999999993" customHeight="1" x14ac:dyDescent="0.25">
      <c r="B439" s="12"/>
      <c r="C439" s="13"/>
      <c r="D439" s="13"/>
      <c r="E439" s="13"/>
      <c r="F439" s="61"/>
      <c r="G439" s="51"/>
      <c r="H439" s="39"/>
      <c r="I439" s="32"/>
    </row>
    <row r="440" spans="1:9" s="3" customFormat="1" ht="12" customHeight="1" x14ac:dyDescent="0.25">
      <c r="A440" s="3">
        <v>930</v>
      </c>
      <c r="B440" s="8" t="s">
        <v>267</v>
      </c>
      <c r="C440" s="11"/>
      <c r="D440" s="10" t="s">
        <v>268</v>
      </c>
      <c r="E440" s="15" t="s">
        <v>124</v>
      </c>
      <c r="F440" s="60">
        <v>303.66000000000003</v>
      </c>
      <c r="G440" s="16">
        <v>95</v>
      </c>
      <c r="H440" s="16">
        <f>F440*G440</f>
        <v>28847.7</v>
      </c>
      <c r="I440" s="32"/>
    </row>
    <row r="441" spans="1:9" s="3" customFormat="1" ht="8.4499999999999993" customHeight="1" x14ac:dyDescent="0.25">
      <c r="B441" s="12"/>
      <c r="C441" s="13"/>
      <c r="D441" s="13"/>
      <c r="E441" s="13"/>
      <c r="F441" s="61"/>
      <c r="G441" s="51"/>
      <c r="H441" s="39"/>
      <c r="I441" s="32"/>
    </row>
    <row r="442" spans="1:9" s="3" customFormat="1" ht="12" customHeight="1" x14ac:dyDescent="0.25">
      <c r="A442" s="3">
        <v>932</v>
      </c>
      <c r="B442" s="14"/>
      <c r="C442" s="9" t="s">
        <v>141</v>
      </c>
      <c r="D442" s="10" t="s">
        <v>269</v>
      </c>
      <c r="E442" s="11"/>
      <c r="F442" s="60"/>
      <c r="G442" s="16"/>
      <c r="H442" s="38"/>
      <c r="I442" s="32"/>
    </row>
    <row r="443" spans="1:9" s="3" customFormat="1" ht="8.4499999999999993" customHeight="1" x14ac:dyDescent="0.25">
      <c r="B443" s="12"/>
      <c r="C443" s="13"/>
      <c r="D443" s="13"/>
      <c r="E443" s="13"/>
      <c r="F443" s="61"/>
      <c r="G443" s="51"/>
      <c r="H443" s="39"/>
      <c r="I443" s="32"/>
    </row>
    <row r="444" spans="1:9" s="3" customFormat="1" ht="12" customHeight="1" x14ac:dyDescent="0.25">
      <c r="A444" s="3">
        <v>933</v>
      </c>
      <c r="B444" s="8" t="s">
        <v>270</v>
      </c>
      <c r="C444" s="11"/>
      <c r="D444" s="10" t="s">
        <v>266</v>
      </c>
      <c r="E444" s="15" t="s">
        <v>124</v>
      </c>
      <c r="F444" s="60"/>
      <c r="G444" s="16"/>
      <c r="H444" s="38"/>
      <c r="I444" s="32"/>
    </row>
    <row r="445" spans="1:9" s="3" customFormat="1" ht="8.4499999999999993" customHeight="1" x14ac:dyDescent="0.25">
      <c r="B445" s="12"/>
      <c r="C445" s="13"/>
      <c r="D445" s="13"/>
      <c r="E445" s="13"/>
      <c r="F445" s="61"/>
      <c r="G445" s="51"/>
      <c r="H445" s="39"/>
      <c r="I445" s="32"/>
    </row>
    <row r="446" spans="1:9" s="3" customFormat="1" ht="12" customHeight="1" x14ac:dyDescent="0.25">
      <c r="A446" s="3">
        <v>934</v>
      </c>
      <c r="B446" s="8" t="s">
        <v>271</v>
      </c>
      <c r="C446" s="11"/>
      <c r="D446" s="10" t="s">
        <v>272</v>
      </c>
      <c r="E446" s="15" t="s">
        <v>124</v>
      </c>
      <c r="F446" s="60"/>
      <c r="G446" s="16"/>
      <c r="H446" s="38"/>
      <c r="I446" s="32"/>
    </row>
    <row r="447" spans="1:9" s="3" customFormat="1" ht="8.4499999999999993" customHeight="1" x14ac:dyDescent="0.25">
      <c r="B447" s="12"/>
      <c r="C447" s="13"/>
      <c r="D447" s="13"/>
      <c r="E447" s="13"/>
      <c r="F447" s="61"/>
      <c r="G447" s="51"/>
      <c r="H447" s="39"/>
      <c r="I447" s="32"/>
    </row>
    <row r="448" spans="1:9" s="3" customFormat="1" ht="24" customHeight="1" x14ac:dyDescent="0.25">
      <c r="A448" s="3">
        <v>935</v>
      </c>
      <c r="B448" s="8" t="s">
        <v>273</v>
      </c>
      <c r="C448" s="9" t="s">
        <v>274</v>
      </c>
      <c r="D448" s="10" t="s">
        <v>275</v>
      </c>
      <c r="E448" s="11"/>
      <c r="F448" s="60"/>
      <c r="G448" s="16"/>
      <c r="H448" s="38"/>
      <c r="I448" s="32"/>
    </row>
    <row r="449" spans="1:10" s="3" customFormat="1" ht="8.4499999999999993" customHeight="1" x14ac:dyDescent="0.25">
      <c r="B449" s="12"/>
      <c r="C449" s="13"/>
      <c r="D449" s="13"/>
      <c r="E449" s="13"/>
      <c r="F449" s="61"/>
      <c r="G449" s="51"/>
      <c r="H449" s="39"/>
      <c r="I449" s="32"/>
    </row>
    <row r="450" spans="1:10" s="3" customFormat="1" ht="60" customHeight="1" x14ac:dyDescent="0.25">
      <c r="A450" s="3">
        <v>937</v>
      </c>
      <c r="B450" s="14"/>
      <c r="C450" s="9" t="s">
        <v>94</v>
      </c>
      <c r="D450" s="10" t="s">
        <v>276</v>
      </c>
      <c r="E450" s="11"/>
      <c r="F450" s="60"/>
      <c r="G450" s="16"/>
      <c r="H450" s="38"/>
      <c r="I450" s="32"/>
    </row>
    <row r="451" spans="1:10" s="3" customFormat="1" ht="8.4499999999999993" customHeight="1" x14ac:dyDescent="0.25">
      <c r="B451" s="12"/>
      <c r="C451" s="13"/>
      <c r="D451" s="13"/>
      <c r="E451" s="13"/>
      <c r="F451" s="61"/>
      <c r="G451" s="51"/>
      <c r="H451" s="39"/>
      <c r="I451" s="32"/>
    </row>
    <row r="452" spans="1:10" s="3" customFormat="1" ht="12" customHeight="1" x14ac:dyDescent="0.25">
      <c r="A452" s="3">
        <v>939</v>
      </c>
      <c r="B452" s="8" t="s">
        <v>277</v>
      </c>
      <c r="C452" s="11"/>
      <c r="D452" s="10" t="s">
        <v>278</v>
      </c>
      <c r="E452" s="15" t="s">
        <v>118</v>
      </c>
      <c r="F452" s="60"/>
      <c r="G452" s="16"/>
      <c r="H452" s="38"/>
      <c r="I452" s="32"/>
    </row>
    <row r="453" spans="1:10" s="3" customFormat="1" ht="8.4499999999999993" customHeight="1" x14ac:dyDescent="0.25">
      <c r="B453" s="12"/>
      <c r="C453" s="13"/>
      <c r="D453" s="13"/>
      <c r="E453" s="13"/>
      <c r="F453" s="61"/>
      <c r="G453" s="51"/>
      <c r="H453" s="39"/>
      <c r="I453" s="32"/>
    </row>
    <row r="454" spans="1:10" s="3" customFormat="1" ht="12" customHeight="1" x14ac:dyDescent="0.25">
      <c r="A454" s="3">
        <v>940</v>
      </c>
      <c r="B454" s="8" t="s">
        <v>279</v>
      </c>
      <c r="C454" s="11"/>
      <c r="D454" s="10" t="s">
        <v>280</v>
      </c>
      <c r="E454" s="15" t="s">
        <v>118</v>
      </c>
      <c r="F454" s="68">
        <v>3995.5</v>
      </c>
      <c r="G454" s="16">
        <v>321.08</v>
      </c>
      <c r="H454" s="16">
        <f>F454*G454</f>
        <v>1282875.1399999999</v>
      </c>
      <c r="I454" s="32">
        <f>H454-M704-M706-M708</f>
        <v>1282875.1399999999</v>
      </c>
      <c r="J454" s="3">
        <f>I454/F454</f>
        <v>321.08</v>
      </c>
    </row>
    <row r="455" spans="1:10" s="3" customFormat="1" ht="8.4499999999999993" customHeight="1" x14ac:dyDescent="0.25">
      <c r="B455" s="12"/>
      <c r="C455" s="13"/>
      <c r="D455" s="13"/>
      <c r="E455" s="13"/>
      <c r="F455" s="61"/>
      <c r="G455" s="51"/>
      <c r="H455" s="39"/>
      <c r="I455" s="32"/>
    </row>
    <row r="456" spans="1:10" s="3" customFormat="1" ht="12" customHeight="1" x14ac:dyDescent="0.25">
      <c r="A456" s="3">
        <v>941</v>
      </c>
      <c r="B456" s="8" t="s">
        <v>281</v>
      </c>
      <c r="C456" s="11"/>
      <c r="D456" s="10" t="s">
        <v>282</v>
      </c>
      <c r="E456" s="15" t="s">
        <v>118</v>
      </c>
      <c r="F456" s="60"/>
      <c r="G456" s="16"/>
      <c r="H456" s="38"/>
      <c r="I456" s="32"/>
    </row>
    <row r="457" spans="1:10" s="3" customFormat="1" ht="8.4499999999999993" customHeight="1" x14ac:dyDescent="0.25">
      <c r="B457" s="12"/>
      <c r="C457" s="13"/>
      <c r="D457" s="13"/>
      <c r="E457" s="13"/>
      <c r="F457" s="61"/>
      <c r="G457" s="51"/>
      <c r="H457" s="39"/>
      <c r="I457" s="32"/>
    </row>
    <row r="458" spans="1:10" s="3" customFormat="1" ht="36" customHeight="1" x14ac:dyDescent="0.25">
      <c r="A458" s="3">
        <v>943</v>
      </c>
      <c r="B458" s="14"/>
      <c r="C458" s="9" t="s">
        <v>99</v>
      </c>
      <c r="D458" s="10" t="s">
        <v>283</v>
      </c>
      <c r="E458" s="11"/>
      <c r="F458" s="60"/>
      <c r="G458" s="16"/>
      <c r="H458" s="38"/>
      <c r="I458" s="32"/>
    </row>
    <row r="459" spans="1:10" s="3" customFormat="1" ht="8.4499999999999993" customHeight="1" x14ac:dyDescent="0.25">
      <c r="B459" s="12"/>
      <c r="C459" s="13"/>
      <c r="D459" s="13"/>
      <c r="E459" s="13"/>
      <c r="F459" s="61"/>
      <c r="G459" s="51"/>
      <c r="H459" s="39"/>
      <c r="I459" s="32"/>
    </row>
    <row r="460" spans="1:10" s="3" customFormat="1" ht="48" customHeight="1" x14ac:dyDescent="0.25">
      <c r="A460" s="3">
        <v>944</v>
      </c>
      <c r="B460" s="8" t="s">
        <v>284</v>
      </c>
      <c r="C460" s="11"/>
      <c r="D460" s="10" t="s">
        <v>285</v>
      </c>
      <c r="E460" s="15" t="s">
        <v>124</v>
      </c>
      <c r="F460" s="60"/>
      <c r="G460" s="16"/>
      <c r="H460" s="38"/>
      <c r="I460" s="32"/>
    </row>
    <row r="461" spans="1:10" s="3" customFormat="1" ht="24" customHeight="1" x14ac:dyDescent="0.25">
      <c r="A461" s="3">
        <v>946</v>
      </c>
      <c r="B461" s="8" t="s">
        <v>286</v>
      </c>
      <c r="C461" s="9" t="s">
        <v>274</v>
      </c>
      <c r="D461" s="10" t="s">
        <v>287</v>
      </c>
      <c r="E461" s="11"/>
      <c r="F461" s="60"/>
      <c r="G461" s="16"/>
      <c r="H461" s="38"/>
      <c r="I461" s="32"/>
    </row>
    <row r="462" spans="1:10" s="3" customFormat="1" ht="8.4499999999999993" customHeight="1" x14ac:dyDescent="0.25">
      <c r="B462" s="12"/>
      <c r="C462" s="13"/>
      <c r="D462" s="13"/>
      <c r="E462" s="13"/>
      <c r="F462" s="61"/>
      <c r="G462" s="51"/>
      <c r="H462" s="39"/>
      <c r="I462" s="32"/>
    </row>
    <row r="463" spans="1:10" s="3" customFormat="1" ht="120" customHeight="1" x14ac:dyDescent="0.25">
      <c r="A463" s="3">
        <v>948</v>
      </c>
      <c r="B463" s="14"/>
      <c r="C463" s="11"/>
      <c r="D463" s="9" t="s">
        <v>288</v>
      </c>
      <c r="E463" s="11"/>
      <c r="F463" s="60"/>
      <c r="G463" s="16"/>
      <c r="H463" s="38"/>
      <c r="I463" s="32"/>
    </row>
    <row r="464" spans="1:10" s="3" customFormat="1" ht="8.4499999999999993" customHeight="1" x14ac:dyDescent="0.25">
      <c r="B464" s="12"/>
      <c r="C464" s="13"/>
      <c r="D464" s="13"/>
      <c r="E464" s="13"/>
      <c r="F464" s="61"/>
      <c r="G464" s="51"/>
      <c r="H464" s="39"/>
      <c r="I464" s="32"/>
    </row>
    <row r="465" spans="1:9" s="3" customFormat="1" ht="24" customHeight="1" x14ac:dyDescent="0.25">
      <c r="A465" s="3">
        <v>950</v>
      </c>
      <c r="B465" s="14"/>
      <c r="C465" s="11"/>
      <c r="D465" s="10" t="s">
        <v>289</v>
      </c>
      <c r="E465" s="11"/>
      <c r="F465" s="60"/>
      <c r="G465" s="16"/>
      <c r="H465" s="38"/>
      <c r="I465" s="32"/>
    </row>
    <row r="466" spans="1:9" s="3" customFormat="1" ht="8.4499999999999993" customHeight="1" x14ac:dyDescent="0.25">
      <c r="B466" s="12"/>
      <c r="C466" s="13"/>
      <c r="D466" s="13"/>
      <c r="E466" s="13"/>
      <c r="F466" s="61"/>
      <c r="G466" s="51"/>
      <c r="H466" s="39"/>
      <c r="I466" s="32"/>
    </row>
    <row r="467" spans="1:9" s="3" customFormat="1" ht="12" customHeight="1" x14ac:dyDescent="0.25">
      <c r="A467" s="3">
        <v>951</v>
      </c>
      <c r="B467" s="8" t="s">
        <v>290</v>
      </c>
      <c r="C467" s="11"/>
      <c r="D467" s="10" t="s">
        <v>291</v>
      </c>
      <c r="E467" s="15" t="s">
        <v>24</v>
      </c>
      <c r="F467" s="60">
        <v>0</v>
      </c>
      <c r="G467" s="16"/>
      <c r="H467" s="38"/>
      <c r="I467" s="32"/>
    </row>
    <row r="468" spans="1:9" s="3" customFormat="1" ht="8.4499999999999993" customHeight="1" x14ac:dyDescent="0.25">
      <c r="B468" s="12"/>
      <c r="C468" s="13"/>
      <c r="D468" s="13"/>
      <c r="E468" s="13"/>
      <c r="F468" s="61"/>
      <c r="G468" s="51"/>
      <c r="H468" s="39"/>
      <c r="I468" s="32"/>
    </row>
    <row r="469" spans="1:9" s="3" customFormat="1" ht="12" customHeight="1" x14ac:dyDescent="0.25">
      <c r="A469" s="3">
        <v>952</v>
      </c>
      <c r="B469" s="8" t="s">
        <v>292</v>
      </c>
      <c r="C469" s="11"/>
      <c r="D469" s="10" t="s">
        <v>293</v>
      </c>
      <c r="E469" s="15" t="s">
        <v>24</v>
      </c>
      <c r="F469" s="60">
        <v>0</v>
      </c>
      <c r="G469" s="16"/>
      <c r="H469" s="38"/>
      <c r="I469" s="32"/>
    </row>
    <row r="470" spans="1:9" s="3" customFormat="1" ht="8.4499999999999993" customHeight="1" x14ac:dyDescent="0.25">
      <c r="B470" s="12"/>
      <c r="C470" s="13"/>
      <c r="D470" s="13"/>
      <c r="E470" s="13"/>
      <c r="F470" s="61"/>
      <c r="G470" s="51"/>
      <c r="H470" s="39"/>
      <c r="I470" s="32"/>
    </row>
    <row r="471" spans="1:9" s="3" customFormat="1" ht="12" customHeight="1" x14ac:dyDescent="0.25">
      <c r="A471" s="3">
        <v>953</v>
      </c>
      <c r="B471" s="8" t="s">
        <v>294</v>
      </c>
      <c r="C471" s="11"/>
      <c r="D471" s="10" t="s">
        <v>295</v>
      </c>
      <c r="E471" s="15" t="s">
        <v>24</v>
      </c>
      <c r="F471" s="60">
        <v>30</v>
      </c>
      <c r="G471" s="16">
        <v>9025</v>
      </c>
      <c r="H471" s="16">
        <f>F471*G471</f>
        <v>270750</v>
      </c>
      <c r="I471" s="32"/>
    </row>
    <row r="472" spans="1:9" s="3" customFormat="1" ht="8.4499999999999993" customHeight="1" x14ac:dyDescent="0.25">
      <c r="B472" s="12"/>
      <c r="C472" s="13"/>
      <c r="D472" s="13"/>
      <c r="E472" s="13"/>
      <c r="F472" s="61"/>
      <c r="G472" s="51"/>
      <c r="H472" s="39"/>
      <c r="I472" s="32"/>
    </row>
    <row r="473" spans="1:9" s="3" customFormat="1" ht="12" customHeight="1" x14ac:dyDescent="0.25">
      <c r="A473" s="3">
        <v>954</v>
      </c>
      <c r="B473" s="8" t="s">
        <v>296</v>
      </c>
      <c r="C473" s="11"/>
      <c r="D473" s="10" t="s">
        <v>297</v>
      </c>
      <c r="E473" s="15" t="s">
        <v>24</v>
      </c>
      <c r="F473" s="60">
        <v>68</v>
      </c>
      <c r="G473" s="16">
        <v>11305</v>
      </c>
      <c r="H473" s="16">
        <f>F473*G473</f>
        <v>768740</v>
      </c>
      <c r="I473" s="32"/>
    </row>
    <row r="474" spans="1:9" s="3" customFormat="1" ht="8.4499999999999993" customHeight="1" x14ac:dyDescent="0.25">
      <c r="B474" s="12"/>
      <c r="C474" s="13"/>
      <c r="D474" s="13"/>
      <c r="E474" s="13"/>
      <c r="F474" s="61"/>
      <c r="G474" s="51"/>
      <c r="H474" s="39"/>
      <c r="I474" s="32"/>
    </row>
    <row r="475" spans="1:9" s="3" customFormat="1" ht="12" customHeight="1" x14ac:dyDescent="0.25">
      <c r="A475" s="3">
        <v>945</v>
      </c>
      <c r="B475" s="14"/>
      <c r="C475" s="11"/>
      <c r="D475" s="11"/>
      <c r="E475" s="11"/>
      <c r="F475" s="60"/>
      <c r="G475" s="16"/>
      <c r="H475" s="38"/>
      <c r="I475" s="32"/>
    </row>
    <row r="476" spans="1:9" s="4" customFormat="1" ht="20.100000000000001" customHeight="1" x14ac:dyDescent="0.25">
      <c r="B476" s="17" t="s">
        <v>52</v>
      </c>
      <c r="C476" s="18"/>
      <c r="D476" s="18"/>
      <c r="E476" s="18"/>
      <c r="F476" s="62"/>
      <c r="G476" s="29"/>
      <c r="H476" s="19">
        <f>SUM(H437:H474)</f>
        <v>9756499.3499999996</v>
      </c>
      <c r="I476" s="33"/>
    </row>
    <row r="477" spans="1:9" s="1" customFormat="1" ht="26.25" customHeight="1" x14ac:dyDescent="0.25">
      <c r="B477" s="74" t="s">
        <v>456</v>
      </c>
      <c r="C477" s="74"/>
      <c r="D477" s="74"/>
      <c r="E477" s="74"/>
      <c r="F477" s="74"/>
      <c r="G477" s="74"/>
      <c r="H477" s="74"/>
      <c r="I477" s="30"/>
    </row>
    <row r="478" spans="1:9" s="2" customFormat="1" ht="12" x14ac:dyDescent="0.25">
      <c r="D478" s="46"/>
      <c r="F478" s="58"/>
      <c r="G478" s="49"/>
      <c r="H478" s="36" t="s">
        <v>220</v>
      </c>
      <c r="I478" s="31"/>
    </row>
    <row r="479" spans="1:9" s="3" customFormat="1" ht="27.4" customHeight="1" x14ac:dyDescent="0.25">
      <c r="B479" s="7" t="s">
        <v>1</v>
      </c>
      <c r="C479" s="7" t="s">
        <v>2</v>
      </c>
      <c r="D479" s="7" t="s">
        <v>3</v>
      </c>
      <c r="E479" s="7" t="s">
        <v>4</v>
      </c>
      <c r="F479" s="59" t="s">
        <v>5</v>
      </c>
      <c r="G479" s="50" t="s">
        <v>6</v>
      </c>
      <c r="H479" s="37" t="s">
        <v>7</v>
      </c>
      <c r="I479" s="32"/>
    </row>
    <row r="480" spans="1:9" s="4" customFormat="1" ht="20.100000000000001" customHeight="1" x14ac:dyDescent="0.25">
      <c r="B480" s="17" t="s">
        <v>53</v>
      </c>
      <c r="C480" s="18"/>
      <c r="D480" s="18"/>
      <c r="E480" s="18"/>
      <c r="F480" s="62"/>
      <c r="G480" s="29"/>
      <c r="H480" s="19">
        <f>H476</f>
        <v>9756499.3499999996</v>
      </c>
      <c r="I480" s="33"/>
    </row>
    <row r="481" spans="1:9" s="3" customFormat="1" ht="8.4499999999999993" customHeight="1" x14ac:dyDescent="0.25">
      <c r="B481" s="12"/>
      <c r="C481" s="13"/>
      <c r="D481" s="13"/>
      <c r="E481" s="13"/>
      <c r="F481" s="61"/>
      <c r="G481" s="51"/>
      <c r="H481" s="39"/>
      <c r="I481" s="32"/>
    </row>
    <row r="482" spans="1:9" s="3" customFormat="1" ht="12" customHeight="1" x14ac:dyDescent="0.25">
      <c r="A482" s="3">
        <v>955</v>
      </c>
      <c r="B482" s="8" t="s">
        <v>298</v>
      </c>
      <c r="C482" s="11"/>
      <c r="D482" s="10" t="s">
        <v>299</v>
      </c>
      <c r="E482" s="15" t="s">
        <v>24</v>
      </c>
      <c r="F482" s="60">
        <v>30</v>
      </c>
      <c r="G482" s="16">
        <v>12910.5</v>
      </c>
      <c r="H482" s="16">
        <f>F482*G482</f>
        <v>387315</v>
      </c>
      <c r="I482" s="32"/>
    </row>
    <row r="483" spans="1:9" s="3" customFormat="1" ht="8.4499999999999993" customHeight="1" x14ac:dyDescent="0.25">
      <c r="B483" s="12"/>
      <c r="C483" s="13"/>
      <c r="D483" s="13"/>
      <c r="E483" s="13"/>
      <c r="F483" s="61"/>
      <c r="G483" s="51"/>
      <c r="H483" s="39"/>
      <c r="I483" s="32"/>
    </row>
    <row r="484" spans="1:9" s="3" customFormat="1" ht="12" customHeight="1" x14ac:dyDescent="0.25">
      <c r="A484" s="3">
        <v>956</v>
      </c>
      <c r="B484" s="8" t="s">
        <v>300</v>
      </c>
      <c r="C484" s="11"/>
      <c r="D484" s="10" t="s">
        <v>301</v>
      </c>
      <c r="E484" s="15" t="s">
        <v>24</v>
      </c>
      <c r="F484" s="60">
        <v>0</v>
      </c>
      <c r="G484" s="16">
        <v>15010</v>
      </c>
      <c r="H484" s="16">
        <f>F484*G484</f>
        <v>0</v>
      </c>
      <c r="I484" s="32"/>
    </row>
    <row r="485" spans="1:9" s="3" customFormat="1" ht="8.4499999999999993" customHeight="1" x14ac:dyDescent="0.25">
      <c r="B485" s="12"/>
      <c r="C485" s="13"/>
      <c r="D485" s="13"/>
      <c r="E485" s="13"/>
      <c r="F485" s="61"/>
      <c r="G485" s="51"/>
      <c r="H485" s="39"/>
      <c r="I485" s="32"/>
    </row>
    <row r="486" spans="1:9" s="3" customFormat="1" ht="12" customHeight="1" x14ac:dyDescent="0.25">
      <c r="A486" s="3">
        <v>957</v>
      </c>
      <c r="B486" s="8" t="s">
        <v>302</v>
      </c>
      <c r="C486" s="11"/>
      <c r="D486" s="10" t="s">
        <v>303</v>
      </c>
      <c r="E486" s="15" t="s">
        <v>24</v>
      </c>
      <c r="F486" s="60">
        <v>0</v>
      </c>
      <c r="G486" s="16">
        <v>14772.5</v>
      </c>
      <c r="H486" s="16">
        <f>F486*G486</f>
        <v>0</v>
      </c>
      <c r="I486" s="32"/>
    </row>
    <row r="487" spans="1:9" s="3" customFormat="1" ht="8.4499999999999993" customHeight="1" x14ac:dyDescent="0.25">
      <c r="B487" s="12"/>
      <c r="C487" s="13"/>
      <c r="D487" s="13"/>
      <c r="E487" s="13"/>
      <c r="F487" s="61"/>
      <c r="G487" s="51"/>
      <c r="H487" s="39"/>
      <c r="I487" s="32"/>
    </row>
    <row r="488" spans="1:9" s="3" customFormat="1" ht="12" customHeight="1" x14ac:dyDescent="0.25">
      <c r="A488" s="3">
        <v>958</v>
      </c>
      <c r="B488" s="8" t="s">
        <v>304</v>
      </c>
      <c r="C488" s="11"/>
      <c r="D488" s="10" t="s">
        <v>305</v>
      </c>
      <c r="E488" s="15" t="s">
        <v>24</v>
      </c>
      <c r="F488" s="60">
        <v>0</v>
      </c>
      <c r="G488" s="16">
        <v>16625</v>
      </c>
      <c r="H488" s="16">
        <f>F488*G488</f>
        <v>0</v>
      </c>
      <c r="I488" s="32"/>
    </row>
    <row r="489" spans="1:9" s="3" customFormat="1" ht="8.4499999999999993" customHeight="1" x14ac:dyDescent="0.25">
      <c r="B489" s="12"/>
      <c r="C489" s="13"/>
      <c r="D489" s="13"/>
      <c r="E489" s="13"/>
      <c r="F489" s="61"/>
      <c r="G489" s="51"/>
      <c r="H489" s="39"/>
      <c r="I489" s="32"/>
    </row>
    <row r="490" spans="1:9" s="3" customFormat="1" ht="12" customHeight="1" x14ac:dyDescent="0.25">
      <c r="A490" s="3">
        <v>960</v>
      </c>
      <c r="B490" s="14"/>
      <c r="C490" s="11"/>
      <c r="D490" s="10" t="s">
        <v>306</v>
      </c>
      <c r="E490" s="11"/>
      <c r="F490" s="60"/>
      <c r="G490" s="16"/>
      <c r="H490" s="38"/>
      <c r="I490" s="32"/>
    </row>
    <row r="491" spans="1:9" s="3" customFormat="1" ht="8.4499999999999993" customHeight="1" x14ac:dyDescent="0.25">
      <c r="B491" s="12"/>
      <c r="C491" s="13"/>
      <c r="D491" s="13"/>
      <c r="E491" s="13"/>
      <c r="F491" s="61"/>
      <c r="G491" s="51"/>
      <c r="H491" s="39"/>
      <c r="I491" s="32"/>
    </row>
    <row r="492" spans="1:9" s="3" customFormat="1" ht="12" customHeight="1" x14ac:dyDescent="0.25">
      <c r="A492" s="3">
        <v>961</v>
      </c>
      <c r="B492" s="8" t="s">
        <v>307</v>
      </c>
      <c r="C492" s="11"/>
      <c r="D492" s="10" t="s">
        <v>308</v>
      </c>
      <c r="E492" s="15" t="s">
        <v>24</v>
      </c>
      <c r="F492" s="60">
        <v>0</v>
      </c>
      <c r="G492" s="16">
        <v>4065.18</v>
      </c>
      <c r="H492" s="16">
        <f>F492*G492</f>
        <v>0</v>
      </c>
      <c r="I492" s="32"/>
    </row>
    <row r="493" spans="1:9" s="3" customFormat="1" ht="8.4499999999999993" customHeight="1" x14ac:dyDescent="0.25">
      <c r="B493" s="12"/>
      <c r="C493" s="13"/>
      <c r="D493" s="13"/>
      <c r="E493" s="13"/>
      <c r="F493" s="61"/>
      <c r="G493" s="51"/>
      <c r="H493" s="39"/>
      <c r="I493" s="32"/>
    </row>
    <row r="494" spans="1:9" s="3" customFormat="1" ht="12" customHeight="1" x14ac:dyDescent="0.25">
      <c r="A494" s="3">
        <v>962</v>
      </c>
      <c r="B494" s="8" t="s">
        <v>309</v>
      </c>
      <c r="C494" s="11"/>
      <c r="D494" s="10" t="s">
        <v>310</v>
      </c>
      <c r="E494" s="15" t="s">
        <v>24</v>
      </c>
      <c r="F494" s="60">
        <v>0</v>
      </c>
      <c r="G494" s="16"/>
      <c r="H494" s="16">
        <f>F494*G494</f>
        <v>0</v>
      </c>
      <c r="I494" s="32"/>
    </row>
    <row r="495" spans="1:9" s="3" customFormat="1" ht="8.4499999999999993" customHeight="1" x14ac:dyDescent="0.25">
      <c r="B495" s="12"/>
      <c r="C495" s="13"/>
      <c r="D495" s="13"/>
      <c r="E495" s="13"/>
      <c r="F495" s="61"/>
      <c r="G495" s="51"/>
      <c r="H495" s="39"/>
      <c r="I495" s="32"/>
    </row>
    <row r="496" spans="1:9" s="3" customFormat="1" ht="12" customHeight="1" x14ac:dyDescent="0.25">
      <c r="A496" s="3">
        <v>963</v>
      </c>
      <c r="B496" s="8" t="s">
        <v>311</v>
      </c>
      <c r="C496" s="11"/>
      <c r="D496" s="10" t="s">
        <v>312</v>
      </c>
      <c r="E496" s="15" t="s">
        <v>24</v>
      </c>
      <c r="F496" s="60">
        <f>F471+F473+F482</f>
        <v>128</v>
      </c>
      <c r="G496" s="16">
        <v>7426.56</v>
      </c>
      <c r="H496" s="16">
        <f>F496*G496</f>
        <v>950599.68000000005</v>
      </c>
      <c r="I496" s="32"/>
    </row>
    <row r="497" spans="1:9" s="3" customFormat="1" ht="8.4499999999999993" customHeight="1" x14ac:dyDescent="0.25">
      <c r="B497" s="12"/>
      <c r="C497" s="13"/>
      <c r="D497" s="13"/>
      <c r="E497" s="13"/>
      <c r="F497" s="61"/>
      <c r="G497" s="51"/>
      <c r="H497" s="39"/>
      <c r="I497" s="32"/>
    </row>
    <row r="498" spans="1:9" s="3" customFormat="1" ht="12" customHeight="1" x14ac:dyDescent="0.25">
      <c r="A498" s="3">
        <v>965</v>
      </c>
      <c r="B498" s="8" t="s">
        <v>313</v>
      </c>
      <c r="C498" s="9" t="s">
        <v>314</v>
      </c>
      <c r="D498" s="10" t="s">
        <v>315</v>
      </c>
      <c r="E498" s="11"/>
      <c r="F498" s="60"/>
      <c r="G498" s="16"/>
      <c r="H498" s="38"/>
      <c r="I498" s="32"/>
    </row>
    <row r="499" spans="1:9" s="3" customFormat="1" ht="8.4499999999999993" customHeight="1" x14ac:dyDescent="0.25">
      <c r="B499" s="12"/>
      <c r="C499" s="13"/>
      <c r="D499" s="13"/>
      <c r="E499" s="13"/>
      <c r="F499" s="61"/>
      <c r="G499" s="51"/>
      <c r="H499" s="39"/>
      <c r="I499" s="32"/>
    </row>
    <row r="500" spans="1:9" s="3" customFormat="1" ht="60" customHeight="1" x14ac:dyDescent="0.25">
      <c r="A500" s="3">
        <v>966</v>
      </c>
      <c r="B500" s="14"/>
      <c r="C500" s="11"/>
      <c r="D500" s="10" t="s">
        <v>316</v>
      </c>
      <c r="E500" s="11"/>
      <c r="F500" s="60"/>
      <c r="G500" s="16"/>
      <c r="H500" s="38"/>
      <c r="I500" s="32"/>
    </row>
    <row r="501" spans="1:9" s="3" customFormat="1" ht="8.4499999999999993" customHeight="1" x14ac:dyDescent="0.25">
      <c r="B501" s="12"/>
      <c r="C501" s="13"/>
      <c r="D501" s="13"/>
      <c r="E501" s="13"/>
      <c r="F501" s="61"/>
      <c r="G501" s="51"/>
      <c r="H501" s="39"/>
      <c r="I501" s="32"/>
    </row>
    <row r="502" spans="1:9" s="3" customFormat="1" ht="12" customHeight="1" x14ac:dyDescent="0.25">
      <c r="A502" s="3">
        <v>968</v>
      </c>
      <c r="B502" s="14"/>
      <c r="C502" s="11"/>
      <c r="D502" s="10" t="s">
        <v>317</v>
      </c>
      <c r="E502" s="11"/>
      <c r="F502" s="60"/>
      <c r="G502" s="16"/>
      <c r="H502" s="38"/>
      <c r="I502" s="32"/>
    </row>
    <row r="503" spans="1:9" s="3" customFormat="1" ht="8.4499999999999993" customHeight="1" x14ac:dyDescent="0.25">
      <c r="B503" s="12"/>
      <c r="C503" s="13"/>
      <c r="D503" s="13"/>
      <c r="E503" s="13"/>
      <c r="F503" s="61"/>
      <c r="G503" s="51"/>
      <c r="H503" s="39"/>
      <c r="I503" s="32"/>
    </row>
    <row r="504" spans="1:9" s="3" customFormat="1" ht="12" customHeight="1" x14ac:dyDescent="0.25">
      <c r="A504" s="3">
        <v>969</v>
      </c>
      <c r="B504" s="8" t="s">
        <v>318</v>
      </c>
      <c r="C504" s="11"/>
      <c r="D504" s="10" t="s">
        <v>319</v>
      </c>
      <c r="E504" s="15" t="s">
        <v>24</v>
      </c>
      <c r="F504" s="68">
        <f>186+9</f>
        <v>195</v>
      </c>
      <c r="G504" s="16">
        <v>680</v>
      </c>
      <c r="H504" s="16">
        <f>F504*G504</f>
        <v>132600</v>
      </c>
      <c r="I504" s="32"/>
    </row>
    <row r="505" spans="1:9" s="3" customFormat="1" ht="8.4499999999999993" customHeight="1" x14ac:dyDescent="0.25">
      <c r="B505" s="12"/>
      <c r="C505" s="13"/>
      <c r="D505" s="13"/>
      <c r="E505" s="13"/>
      <c r="F505" s="69"/>
      <c r="G505" s="51"/>
      <c r="H505" s="39"/>
      <c r="I505" s="32"/>
    </row>
    <row r="506" spans="1:9" s="3" customFormat="1" ht="12" customHeight="1" x14ac:dyDescent="0.25">
      <c r="A506" s="3">
        <v>970</v>
      </c>
      <c r="B506" s="8" t="s">
        <v>320</v>
      </c>
      <c r="C506" s="11"/>
      <c r="D506" s="10" t="s">
        <v>321</v>
      </c>
      <c r="E506" s="15" t="s">
        <v>24</v>
      </c>
      <c r="F506" s="68">
        <v>1</v>
      </c>
      <c r="G506" s="16">
        <v>869</v>
      </c>
      <c r="H506" s="16">
        <f>F506*G506</f>
        <v>869</v>
      </c>
      <c r="I506" s="32"/>
    </row>
    <row r="507" spans="1:9" s="3" customFormat="1" ht="8.4499999999999993" customHeight="1" x14ac:dyDescent="0.25">
      <c r="B507" s="12"/>
      <c r="C507" s="13"/>
      <c r="D507" s="13"/>
      <c r="E507" s="13"/>
      <c r="F507" s="69"/>
      <c r="G507" s="51"/>
      <c r="H507" s="39"/>
      <c r="I507" s="32"/>
    </row>
    <row r="508" spans="1:9" s="3" customFormat="1" ht="12" customHeight="1" x14ac:dyDescent="0.25">
      <c r="A508" s="3">
        <v>972</v>
      </c>
      <c r="B508" s="14"/>
      <c r="C508" s="11"/>
      <c r="D508" s="10" t="s">
        <v>322</v>
      </c>
      <c r="E508" s="11"/>
      <c r="F508" s="68"/>
      <c r="G508" s="16"/>
      <c r="H508" s="38"/>
      <c r="I508" s="32"/>
    </row>
    <row r="509" spans="1:9" s="3" customFormat="1" ht="8.4499999999999993" customHeight="1" x14ac:dyDescent="0.25">
      <c r="B509" s="12"/>
      <c r="C509" s="13"/>
      <c r="D509" s="13"/>
      <c r="E509" s="13"/>
      <c r="F509" s="69"/>
      <c r="G509" s="51"/>
      <c r="H509" s="39"/>
      <c r="I509" s="32"/>
    </row>
    <row r="510" spans="1:9" s="3" customFormat="1" ht="12" customHeight="1" x14ac:dyDescent="0.25">
      <c r="A510" s="3">
        <v>973</v>
      </c>
      <c r="B510" s="8" t="s">
        <v>323</v>
      </c>
      <c r="C510" s="11"/>
      <c r="D510" s="10" t="s">
        <v>319</v>
      </c>
      <c r="E510" s="15" t="s">
        <v>24</v>
      </c>
      <c r="F510" s="68">
        <f>60-F512</f>
        <v>49</v>
      </c>
      <c r="G510" s="16">
        <v>680</v>
      </c>
      <c r="H510" s="16">
        <f>F510*G510</f>
        <v>33320</v>
      </c>
      <c r="I510" s="32"/>
    </row>
    <row r="511" spans="1:9" s="3" customFormat="1" ht="8.4499999999999993" customHeight="1" x14ac:dyDescent="0.25">
      <c r="B511" s="12"/>
      <c r="C511" s="13"/>
      <c r="D511" s="13"/>
      <c r="E511" s="13"/>
      <c r="F511" s="69"/>
      <c r="G511" s="51"/>
      <c r="H511" s="39"/>
      <c r="I511" s="32"/>
    </row>
    <row r="512" spans="1:9" s="3" customFormat="1" ht="12" customHeight="1" x14ac:dyDescent="0.25">
      <c r="A512" s="3">
        <v>974</v>
      </c>
      <c r="B512" s="8" t="s">
        <v>324</v>
      </c>
      <c r="C512" s="11"/>
      <c r="D512" s="10" t="s">
        <v>321</v>
      </c>
      <c r="E512" s="15" t="s">
        <v>24</v>
      </c>
      <c r="F512" s="68">
        <v>11</v>
      </c>
      <c r="G512" s="16">
        <v>869</v>
      </c>
      <c r="H512" s="16">
        <f>F512*G512</f>
        <v>9559</v>
      </c>
      <c r="I512" s="32"/>
    </row>
    <row r="513" spans="1:9" s="3" customFormat="1" ht="8.4499999999999993" customHeight="1" x14ac:dyDescent="0.25">
      <c r="B513" s="12"/>
      <c r="C513" s="13"/>
      <c r="D513" s="13"/>
      <c r="E513" s="13"/>
      <c r="F513" s="69"/>
      <c r="G513" s="51"/>
      <c r="H513" s="39"/>
      <c r="I513" s="32"/>
    </row>
    <row r="514" spans="1:9" s="3" customFormat="1" ht="12" customHeight="1" x14ac:dyDescent="0.25">
      <c r="A514" s="3">
        <v>976</v>
      </c>
      <c r="B514" s="14"/>
      <c r="C514" s="11"/>
      <c r="D514" s="10" t="s">
        <v>322</v>
      </c>
      <c r="E514" s="11"/>
      <c r="F514" s="68"/>
      <c r="G514" s="16"/>
      <c r="H514" s="38"/>
      <c r="I514" s="32"/>
    </row>
    <row r="515" spans="1:9" s="3" customFormat="1" ht="8.4499999999999993" customHeight="1" x14ac:dyDescent="0.25">
      <c r="B515" s="12"/>
      <c r="C515" s="13"/>
      <c r="D515" s="13"/>
      <c r="E515" s="13"/>
      <c r="F515" s="69"/>
      <c r="G515" s="51"/>
      <c r="H515" s="39"/>
      <c r="I515" s="32"/>
    </row>
    <row r="516" spans="1:9" s="3" customFormat="1" ht="12" customHeight="1" x14ac:dyDescent="0.25">
      <c r="A516" s="3">
        <v>977</v>
      </c>
      <c r="B516" s="8" t="s">
        <v>323</v>
      </c>
      <c r="C516" s="11"/>
      <c r="D516" s="10" t="s">
        <v>319</v>
      </c>
      <c r="E516" s="15" t="s">
        <v>24</v>
      </c>
      <c r="F516" s="68">
        <f>31-F518</f>
        <v>24</v>
      </c>
      <c r="G516" s="16">
        <v>680</v>
      </c>
      <c r="H516" s="16">
        <f>F516*G516</f>
        <v>16320</v>
      </c>
      <c r="I516" s="32"/>
    </row>
    <row r="517" spans="1:9" s="3" customFormat="1" ht="8.4499999999999993" customHeight="1" x14ac:dyDescent="0.25">
      <c r="B517" s="12"/>
      <c r="C517" s="13"/>
      <c r="D517" s="13"/>
      <c r="E517" s="13"/>
      <c r="F517" s="69"/>
      <c r="G517" s="51"/>
      <c r="H517" s="39"/>
      <c r="I517" s="32"/>
    </row>
    <row r="518" spans="1:9" s="3" customFormat="1" ht="12" customHeight="1" x14ac:dyDescent="0.25">
      <c r="A518" s="3">
        <v>978</v>
      </c>
      <c r="B518" s="8" t="s">
        <v>325</v>
      </c>
      <c r="C518" s="11"/>
      <c r="D518" s="10" t="s">
        <v>321</v>
      </c>
      <c r="E518" s="15" t="s">
        <v>24</v>
      </c>
      <c r="F518" s="68">
        <v>7</v>
      </c>
      <c r="G518" s="16">
        <v>869</v>
      </c>
      <c r="H518" s="16">
        <f>F518*G518</f>
        <v>6083</v>
      </c>
      <c r="I518" s="32"/>
    </row>
    <row r="519" spans="1:9" s="3" customFormat="1" ht="8.4499999999999993" customHeight="1" x14ac:dyDescent="0.25">
      <c r="B519" s="12"/>
      <c r="C519" s="13"/>
      <c r="D519" s="13"/>
      <c r="E519" s="13"/>
      <c r="F519" s="69"/>
      <c r="G519" s="51"/>
      <c r="H519" s="39"/>
      <c r="I519" s="32"/>
    </row>
    <row r="520" spans="1:9" s="3" customFormat="1" ht="12" customHeight="1" x14ac:dyDescent="0.25">
      <c r="A520" s="3">
        <v>980</v>
      </c>
      <c r="B520" s="14"/>
      <c r="C520" s="11"/>
      <c r="D520" s="10" t="s">
        <v>326</v>
      </c>
      <c r="E520" s="11"/>
      <c r="F520" s="68"/>
      <c r="G520" s="16"/>
      <c r="H520" s="38"/>
      <c r="I520" s="32"/>
    </row>
    <row r="521" spans="1:9" s="3" customFormat="1" ht="8.4499999999999993" customHeight="1" x14ac:dyDescent="0.25">
      <c r="B521" s="12"/>
      <c r="C521" s="13"/>
      <c r="D521" s="13"/>
      <c r="E521" s="13"/>
      <c r="F521" s="69"/>
      <c r="G521" s="51"/>
      <c r="H521" s="39"/>
      <c r="I521" s="32"/>
    </row>
    <row r="522" spans="1:9" s="3" customFormat="1" ht="12" customHeight="1" x14ac:dyDescent="0.25">
      <c r="A522" s="3">
        <v>981</v>
      </c>
      <c r="B522" s="8" t="s">
        <v>327</v>
      </c>
      <c r="C522" s="11"/>
      <c r="D522" s="10" t="s">
        <v>319</v>
      </c>
      <c r="E522" s="15" t="s">
        <v>24</v>
      </c>
      <c r="F522" s="68">
        <v>3</v>
      </c>
      <c r="G522" s="16">
        <v>680</v>
      </c>
      <c r="H522" s="16">
        <f>F522*G522</f>
        <v>2040</v>
      </c>
      <c r="I522" s="32"/>
    </row>
    <row r="523" spans="1:9" s="3" customFormat="1" ht="8.4499999999999993" customHeight="1" x14ac:dyDescent="0.25">
      <c r="B523" s="12"/>
      <c r="C523" s="13"/>
      <c r="D523" s="13"/>
      <c r="E523" s="13"/>
      <c r="F523" s="69"/>
      <c r="G523" s="51"/>
      <c r="H523" s="39"/>
      <c r="I523" s="32"/>
    </row>
    <row r="524" spans="1:9" s="3" customFormat="1" ht="12" customHeight="1" x14ac:dyDescent="0.25">
      <c r="A524" s="3">
        <v>982</v>
      </c>
      <c r="B524" s="8" t="s">
        <v>328</v>
      </c>
      <c r="C524" s="11"/>
      <c r="D524" s="10" t="s">
        <v>321</v>
      </c>
      <c r="E524" s="15" t="s">
        <v>24</v>
      </c>
      <c r="F524" s="68">
        <f>22-F522</f>
        <v>19</v>
      </c>
      <c r="G524" s="16">
        <v>869</v>
      </c>
      <c r="H524" s="16">
        <f>F524*G524</f>
        <v>16511</v>
      </c>
      <c r="I524" s="32"/>
    </row>
    <row r="525" spans="1:9" s="3" customFormat="1" ht="8.4499999999999993" customHeight="1" x14ac:dyDescent="0.25">
      <c r="B525" s="12"/>
      <c r="C525" s="13"/>
      <c r="D525" s="13"/>
      <c r="E525" s="13"/>
      <c r="F525" s="69"/>
      <c r="G525" s="51"/>
      <c r="H525" s="39"/>
      <c r="I525" s="32"/>
    </row>
    <row r="526" spans="1:9" s="3" customFormat="1" ht="12" customHeight="1" x14ac:dyDescent="0.25">
      <c r="A526" s="3">
        <v>984</v>
      </c>
      <c r="B526" s="14"/>
      <c r="C526" s="11"/>
      <c r="D526" s="10" t="s">
        <v>329</v>
      </c>
      <c r="E526" s="11"/>
      <c r="F526" s="68"/>
      <c r="G526" s="16"/>
      <c r="H526" s="38"/>
      <c r="I526" s="32"/>
    </row>
    <row r="527" spans="1:9" s="3" customFormat="1" ht="8.4499999999999993" customHeight="1" x14ac:dyDescent="0.25">
      <c r="B527" s="12"/>
      <c r="C527" s="13"/>
      <c r="D527" s="13"/>
      <c r="E527" s="13"/>
      <c r="F527" s="69"/>
      <c r="G527" s="51"/>
      <c r="H527" s="39"/>
      <c r="I527" s="32"/>
    </row>
    <row r="528" spans="1:9" s="3" customFormat="1" ht="12" customHeight="1" x14ac:dyDescent="0.25">
      <c r="A528" s="3">
        <v>985</v>
      </c>
      <c r="B528" s="8" t="s">
        <v>330</v>
      </c>
      <c r="C528" s="11"/>
      <c r="D528" s="10" t="s">
        <v>319</v>
      </c>
      <c r="E528" s="15" t="s">
        <v>24</v>
      </c>
      <c r="F528" s="68">
        <v>0</v>
      </c>
      <c r="G528" s="16">
        <v>680</v>
      </c>
      <c r="H528" s="16">
        <f>F528*G528</f>
        <v>0</v>
      </c>
      <c r="I528" s="32"/>
    </row>
    <row r="529" spans="1:9" s="3" customFormat="1" ht="8.4499999999999993" customHeight="1" x14ac:dyDescent="0.25">
      <c r="B529" s="12"/>
      <c r="C529" s="13"/>
      <c r="D529" s="13"/>
      <c r="E529" s="13"/>
      <c r="F529" s="69"/>
      <c r="G529" s="51"/>
      <c r="H529" s="39"/>
      <c r="I529" s="32"/>
    </row>
    <row r="530" spans="1:9" s="3" customFormat="1" ht="12" customHeight="1" x14ac:dyDescent="0.25">
      <c r="A530" s="3">
        <v>986</v>
      </c>
      <c r="B530" s="8" t="s">
        <v>331</v>
      </c>
      <c r="C530" s="11"/>
      <c r="D530" s="10" t="s">
        <v>321</v>
      </c>
      <c r="E530" s="15" t="s">
        <v>24</v>
      </c>
      <c r="F530" s="68">
        <v>0</v>
      </c>
      <c r="G530" s="16">
        <v>869</v>
      </c>
      <c r="H530" s="16">
        <f>F530*G530</f>
        <v>0</v>
      </c>
      <c r="I530" s="32"/>
    </row>
    <row r="531" spans="1:9" s="3" customFormat="1" ht="8.4499999999999993" customHeight="1" x14ac:dyDescent="0.25">
      <c r="B531" s="12"/>
      <c r="C531" s="13"/>
      <c r="D531" s="13"/>
      <c r="E531" s="13"/>
      <c r="F531" s="61"/>
      <c r="G531" s="51"/>
      <c r="H531" s="39"/>
      <c r="I531" s="32"/>
    </row>
    <row r="532" spans="1:9" s="3" customFormat="1" ht="36" customHeight="1" x14ac:dyDescent="0.25">
      <c r="A532" s="3">
        <v>988</v>
      </c>
      <c r="B532" s="8" t="s">
        <v>330</v>
      </c>
      <c r="C532" s="11"/>
      <c r="D532" s="10" t="s">
        <v>332</v>
      </c>
      <c r="E532" s="15" t="s">
        <v>24</v>
      </c>
      <c r="F532" s="68">
        <f>SUM(F504:F530)</f>
        <v>309</v>
      </c>
      <c r="G532" s="16">
        <v>280</v>
      </c>
      <c r="H532" s="16">
        <f>F532*G532</f>
        <v>86520</v>
      </c>
      <c r="I532" s="32"/>
    </row>
    <row r="533" spans="1:9" s="3" customFormat="1" ht="8.4499999999999993" customHeight="1" x14ac:dyDescent="0.25">
      <c r="B533" s="12"/>
      <c r="C533" s="13"/>
      <c r="D533" s="13"/>
      <c r="E533" s="13"/>
      <c r="F533" s="69"/>
      <c r="G533" s="51"/>
      <c r="H533" s="39"/>
      <c r="I533" s="32"/>
    </row>
    <row r="534" spans="1:9" s="3" customFormat="1" ht="12" customHeight="1" x14ac:dyDescent="0.25">
      <c r="A534" s="3">
        <v>990</v>
      </c>
      <c r="B534" s="8" t="s">
        <v>333</v>
      </c>
      <c r="C534" s="9" t="s">
        <v>197</v>
      </c>
      <c r="D534" s="10" t="s">
        <v>334</v>
      </c>
      <c r="E534" s="11"/>
      <c r="F534" s="68"/>
      <c r="G534" s="16"/>
      <c r="H534" s="38"/>
      <c r="I534" s="32"/>
    </row>
    <row r="535" spans="1:9" s="3" customFormat="1" ht="8.4499999999999993" customHeight="1" x14ac:dyDescent="0.25">
      <c r="B535" s="12"/>
      <c r="C535" s="13"/>
      <c r="D535" s="13"/>
      <c r="E535" s="13"/>
      <c r="F535" s="69"/>
      <c r="G535" s="51"/>
      <c r="H535" s="39"/>
      <c r="I535" s="32"/>
    </row>
    <row r="536" spans="1:9" s="3" customFormat="1" ht="12" customHeight="1" x14ac:dyDescent="0.25">
      <c r="A536" s="3">
        <v>992</v>
      </c>
      <c r="B536" s="8" t="s">
        <v>335</v>
      </c>
      <c r="C536" s="11"/>
      <c r="D536" s="10" t="s">
        <v>336</v>
      </c>
      <c r="E536" s="15" t="s">
        <v>24</v>
      </c>
      <c r="F536" s="68">
        <v>2</v>
      </c>
      <c r="G536" s="16">
        <v>2500</v>
      </c>
      <c r="H536" s="16">
        <f>F536*G536</f>
        <v>5000</v>
      </c>
      <c r="I536" s="32"/>
    </row>
    <row r="537" spans="1:9" s="3" customFormat="1" ht="12" customHeight="1" x14ac:dyDescent="0.25">
      <c r="B537" s="14"/>
      <c r="C537" s="11"/>
      <c r="D537" s="10"/>
      <c r="E537" s="11"/>
      <c r="F537" s="60"/>
      <c r="G537" s="16"/>
      <c r="H537" s="38"/>
      <c r="I537" s="32"/>
    </row>
    <row r="538" spans="1:9" s="3" customFormat="1" ht="12" customHeight="1" x14ac:dyDescent="0.25">
      <c r="B538" s="14"/>
      <c r="C538" s="11"/>
      <c r="D538" s="10"/>
      <c r="E538" s="11"/>
      <c r="F538" s="60"/>
      <c r="G538" s="16"/>
      <c r="H538" s="38"/>
      <c r="I538" s="32"/>
    </row>
    <row r="539" spans="1:9" s="3" customFormat="1" ht="12" customHeight="1" x14ac:dyDescent="0.25">
      <c r="B539" s="14"/>
      <c r="C539" s="11"/>
      <c r="D539" s="10"/>
      <c r="E539" s="11"/>
      <c r="F539" s="60"/>
      <c r="G539" s="16"/>
      <c r="H539" s="38"/>
      <c r="I539" s="32"/>
    </row>
    <row r="540" spans="1:9" s="3" customFormat="1" ht="8.4499999999999993" customHeight="1" x14ac:dyDescent="0.25">
      <c r="B540" s="12"/>
      <c r="C540" s="13"/>
      <c r="D540" s="13"/>
      <c r="E540" s="13"/>
      <c r="F540" s="61"/>
      <c r="G540" s="51"/>
      <c r="H540" s="39"/>
      <c r="I540" s="32"/>
    </row>
    <row r="541" spans="1:9" s="4" customFormat="1" ht="20.100000000000001" customHeight="1" x14ac:dyDescent="0.25">
      <c r="B541" s="17" t="s">
        <v>52</v>
      </c>
      <c r="C541" s="18"/>
      <c r="D541" s="18"/>
      <c r="E541" s="18"/>
      <c r="F541" s="62"/>
      <c r="G541" s="29"/>
      <c r="H541" s="19">
        <f>SUM(H480:H539)</f>
        <v>11403236.029999999</v>
      </c>
      <c r="I541" s="33"/>
    </row>
    <row r="542" spans="1:9" s="1" customFormat="1" ht="26.25" customHeight="1" x14ac:dyDescent="0.25">
      <c r="B542" s="74" t="s">
        <v>456</v>
      </c>
      <c r="C542" s="74"/>
      <c r="D542" s="74"/>
      <c r="E542" s="74"/>
      <c r="F542" s="74"/>
      <c r="G542" s="74"/>
      <c r="H542" s="74"/>
      <c r="I542" s="30"/>
    </row>
    <row r="543" spans="1:9" s="2" customFormat="1" ht="12" x14ac:dyDescent="0.25">
      <c r="D543" s="46"/>
      <c r="F543" s="58"/>
      <c r="G543" s="49"/>
      <c r="H543" s="36" t="s">
        <v>337</v>
      </c>
      <c r="I543" s="31"/>
    </row>
    <row r="544" spans="1:9" s="3" customFormat="1" ht="27.4" customHeight="1" x14ac:dyDescent="0.25">
      <c r="B544" s="7" t="s">
        <v>1</v>
      </c>
      <c r="C544" s="7" t="s">
        <v>2</v>
      </c>
      <c r="D544" s="7" t="s">
        <v>3</v>
      </c>
      <c r="E544" s="7" t="s">
        <v>4</v>
      </c>
      <c r="F544" s="59" t="s">
        <v>5</v>
      </c>
      <c r="G544" s="50" t="s">
        <v>6</v>
      </c>
      <c r="H544" s="37" t="s">
        <v>7</v>
      </c>
      <c r="I544" s="32"/>
    </row>
    <row r="545" spans="1:9" s="3" customFormat="1" ht="12" customHeight="1" x14ac:dyDescent="0.25">
      <c r="A545" s="3">
        <v>1000</v>
      </c>
      <c r="B545" s="8" t="s">
        <v>88</v>
      </c>
      <c r="C545" s="11"/>
      <c r="D545" s="10" t="s">
        <v>338</v>
      </c>
      <c r="E545" s="11"/>
      <c r="F545" s="60"/>
      <c r="G545" s="16"/>
      <c r="H545" s="38"/>
      <c r="I545" s="32"/>
    </row>
    <row r="546" spans="1:9" s="3" customFormat="1" ht="8.4499999999999993" customHeight="1" x14ac:dyDescent="0.25">
      <c r="B546" s="12"/>
      <c r="C546" s="13"/>
      <c r="D546" s="13"/>
      <c r="E546" s="13"/>
      <c r="F546" s="61"/>
      <c r="G546" s="51"/>
      <c r="H546" s="39"/>
      <c r="I546" s="32"/>
    </row>
    <row r="547" spans="1:9" s="3" customFormat="1" ht="12" customHeight="1" x14ac:dyDescent="0.25">
      <c r="A547" s="3">
        <v>1202</v>
      </c>
      <c r="B547" s="8" t="s">
        <v>339</v>
      </c>
      <c r="C547" s="11"/>
      <c r="D547" s="10" t="s">
        <v>340</v>
      </c>
      <c r="E547" s="11"/>
      <c r="F547" s="60"/>
      <c r="G547" s="16"/>
      <c r="H547" s="38"/>
      <c r="I547" s="32"/>
    </row>
    <row r="548" spans="1:9" s="3" customFormat="1" ht="8.4499999999999993" customHeight="1" x14ac:dyDescent="0.25">
      <c r="B548" s="12"/>
      <c r="C548" s="13"/>
      <c r="D548" s="13"/>
      <c r="E548" s="13"/>
      <c r="F548" s="61"/>
      <c r="G548" s="51"/>
      <c r="H548" s="39"/>
      <c r="I548" s="32"/>
    </row>
    <row r="549" spans="1:9" s="3" customFormat="1" ht="48" customHeight="1" x14ac:dyDescent="0.25">
      <c r="A549" s="3">
        <v>1204</v>
      </c>
      <c r="B549" s="8" t="s">
        <v>341</v>
      </c>
      <c r="C549" s="11"/>
      <c r="D549" s="10" t="s">
        <v>342</v>
      </c>
      <c r="E549" s="15" t="s">
        <v>24</v>
      </c>
      <c r="F549" s="60">
        <v>2</v>
      </c>
      <c r="G549" s="16">
        <v>17337.5</v>
      </c>
      <c r="H549" s="16">
        <f>F549*G549</f>
        <v>34675</v>
      </c>
      <c r="I549" s="32"/>
    </row>
    <row r="550" spans="1:9" s="3" customFormat="1" ht="8.4499999999999993" customHeight="1" x14ac:dyDescent="0.25">
      <c r="B550" s="12"/>
      <c r="C550" s="13"/>
      <c r="D550" s="13"/>
      <c r="E550" s="13"/>
      <c r="F550" s="61"/>
      <c r="G550" s="51"/>
      <c r="H550" s="39"/>
      <c r="I550" s="32"/>
    </row>
    <row r="551" spans="1:9" s="3" customFormat="1" ht="72" x14ac:dyDescent="0.25">
      <c r="A551" s="3">
        <v>1206</v>
      </c>
      <c r="B551" s="8" t="s">
        <v>343</v>
      </c>
      <c r="C551" s="11"/>
      <c r="D551" s="10" t="s">
        <v>443</v>
      </c>
      <c r="E551" s="15" t="s">
        <v>24</v>
      </c>
      <c r="F551" s="60">
        <v>1</v>
      </c>
      <c r="G551" s="16">
        <v>25193.27</v>
      </c>
      <c r="H551" s="16">
        <f>F551*G551</f>
        <v>25193.27</v>
      </c>
      <c r="I551" s="32"/>
    </row>
    <row r="552" spans="1:9" s="3" customFormat="1" ht="8.4499999999999993" customHeight="1" x14ac:dyDescent="0.25">
      <c r="B552" s="12"/>
      <c r="C552" s="13"/>
      <c r="D552" s="13"/>
      <c r="E552" s="13"/>
      <c r="F552" s="61"/>
      <c r="G552" s="51"/>
      <c r="H552" s="39"/>
      <c r="I552" s="32"/>
    </row>
    <row r="553" spans="1:9" s="3" customFormat="1" ht="48" customHeight="1" x14ac:dyDescent="0.25">
      <c r="A553" s="3">
        <v>1208</v>
      </c>
      <c r="B553" s="8" t="s">
        <v>344</v>
      </c>
      <c r="C553" s="11"/>
      <c r="D553" s="10" t="s">
        <v>345</v>
      </c>
      <c r="E553" s="15" t="s">
        <v>17</v>
      </c>
      <c r="F553" s="60">
        <v>1</v>
      </c>
      <c r="G553" s="16">
        <v>35356.25</v>
      </c>
      <c r="H553" s="16">
        <f>F553*G553</f>
        <v>35356.25</v>
      </c>
      <c r="I553" s="32"/>
    </row>
    <row r="554" spans="1:9" s="3" customFormat="1" ht="8.4499999999999993" customHeight="1" x14ac:dyDescent="0.25">
      <c r="B554" s="12"/>
      <c r="C554" s="13"/>
      <c r="D554" s="13"/>
      <c r="E554" s="13"/>
      <c r="F554" s="61"/>
      <c r="G554" s="51"/>
      <c r="H554" s="39"/>
      <c r="I554" s="32"/>
    </row>
    <row r="555" spans="1:9" s="3" customFormat="1" ht="24" customHeight="1" x14ac:dyDescent="0.25">
      <c r="A555" s="3">
        <v>1210</v>
      </c>
      <c r="B555" s="8" t="s">
        <v>346</v>
      </c>
      <c r="C555" s="11"/>
      <c r="D555" s="10" t="s">
        <v>347</v>
      </c>
      <c r="E555" s="15" t="s">
        <v>17</v>
      </c>
      <c r="F555" s="60">
        <v>1</v>
      </c>
      <c r="G555" s="16">
        <v>39540</v>
      </c>
      <c r="H555" s="16">
        <f>F555*G555</f>
        <v>39540</v>
      </c>
      <c r="I555" s="32"/>
    </row>
    <row r="556" spans="1:9" s="3" customFormat="1" ht="8.4499999999999993" customHeight="1" x14ac:dyDescent="0.25">
      <c r="B556" s="12"/>
      <c r="C556" s="13"/>
      <c r="D556" s="13"/>
      <c r="E556" s="13"/>
      <c r="F556" s="61"/>
      <c r="G556" s="51"/>
      <c r="H556" s="39"/>
      <c r="I556" s="32"/>
    </row>
    <row r="557" spans="1:9" s="3" customFormat="1" ht="12" customHeight="1" x14ac:dyDescent="0.25">
      <c r="A557" s="3">
        <v>1212</v>
      </c>
      <c r="B557" s="8" t="s">
        <v>343</v>
      </c>
      <c r="C557" s="11"/>
      <c r="D557" s="10" t="s">
        <v>348</v>
      </c>
      <c r="E557" s="11"/>
      <c r="F557" s="60"/>
      <c r="G557" s="16"/>
      <c r="H557" s="38"/>
      <c r="I557" s="32"/>
    </row>
    <row r="558" spans="1:9" s="3" customFormat="1" ht="8.4499999999999993" customHeight="1" x14ac:dyDescent="0.25">
      <c r="B558" s="12"/>
      <c r="C558" s="13"/>
      <c r="D558" s="13"/>
      <c r="E558" s="13"/>
      <c r="F558" s="61"/>
      <c r="G558" s="51"/>
      <c r="H558" s="39"/>
      <c r="I558" s="32"/>
    </row>
    <row r="559" spans="1:9" s="3" customFormat="1" ht="24" customHeight="1" x14ac:dyDescent="0.25">
      <c r="A559" s="3">
        <v>1214</v>
      </c>
      <c r="B559" s="14"/>
      <c r="C559" s="11"/>
      <c r="D559" s="10" t="s">
        <v>349</v>
      </c>
      <c r="E559" s="11"/>
      <c r="F559" s="60"/>
      <c r="G559" s="16"/>
      <c r="H559" s="38"/>
      <c r="I559" s="32"/>
    </row>
    <row r="560" spans="1:9" s="3" customFormat="1" ht="8.4499999999999993" customHeight="1" x14ac:dyDescent="0.25">
      <c r="B560" s="12"/>
      <c r="C560" s="13"/>
      <c r="D560" s="13"/>
      <c r="E560" s="13"/>
      <c r="F560" s="61"/>
      <c r="G560" s="51"/>
      <c r="H560" s="39"/>
      <c r="I560" s="32"/>
    </row>
    <row r="561" spans="1:9" s="3" customFormat="1" ht="12" customHeight="1" x14ac:dyDescent="0.25">
      <c r="A561" s="3">
        <v>1216</v>
      </c>
      <c r="B561" s="8" t="s">
        <v>350</v>
      </c>
      <c r="C561" s="11"/>
      <c r="D561" s="10" t="s">
        <v>351</v>
      </c>
      <c r="E561" s="15" t="s">
        <v>118</v>
      </c>
      <c r="F561" s="60">
        <v>160</v>
      </c>
      <c r="G561" s="16">
        <v>445.82</v>
      </c>
      <c r="H561" s="16">
        <f>F561*G561</f>
        <v>71331.199999999997</v>
      </c>
      <c r="I561" s="32"/>
    </row>
    <row r="562" spans="1:9" s="3" customFormat="1" ht="8.4499999999999993" customHeight="1" x14ac:dyDescent="0.25">
      <c r="B562" s="12"/>
      <c r="C562" s="13"/>
      <c r="D562" s="13"/>
      <c r="E562" s="13"/>
      <c r="F562" s="61"/>
      <c r="G562" s="51"/>
      <c r="H562" s="39"/>
      <c r="I562" s="32"/>
    </row>
    <row r="563" spans="1:9" s="3" customFormat="1" ht="12" customHeight="1" x14ac:dyDescent="0.25">
      <c r="A563" s="3">
        <v>1218</v>
      </c>
      <c r="B563" s="8" t="s">
        <v>352</v>
      </c>
      <c r="C563" s="11"/>
      <c r="D563" s="10" t="s">
        <v>353</v>
      </c>
      <c r="E563" s="15" t="s">
        <v>118</v>
      </c>
      <c r="F563" s="60">
        <v>160</v>
      </c>
      <c r="G563" s="16">
        <v>110</v>
      </c>
      <c r="H563" s="16">
        <f>F563*G563</f>
        <v>17600</v>
      </c>
      <c r="I563" s="32"/>
    </row>
    <row r="564" spans="1:9" s="3" customFormat="1" ht="8.4499999999999993" customHeight="1" x14ac:dyDescent="0.25">
      <c r="B564" s="12"/>
      <c r="C564" s="13"/>
      <c r="D564" s="13"/>
      <c r="E564" s="13"/>
      <c r="F564" s="61"/>
      <c r="G564" s="51"/>
      <c r="H564" s="39"/>
      <c r="I564" s="32"/>
    </row>
    <row r="565" spans="1:9" s="3" customFormat="1" ht="36" customHeight="1" x14ac:dyDescent="0.25">
      <c r="A565" s="3">
        <v>1220</v>
      </c>
      <c r="B565" s="8" t="s">
        <v>354</v>
      </c>
      <c r="C565" s="11"/>
      <c r="D565" s="10" t="s">
        <v>355</v>
      </c>
      <c r="E565" s="15" t="s">
        <v>24</v>
      </c>
      <c r="F565" s="60">
        <v>1</v>
      </c>
      <c r="G565" s="16">
        <v>684.17</v>
      </c>
      <c r="H565" s="16">
        <f>F565*G565</f>
        <v>684.17</v>
      </c>
      <c r="I565" s="32"/>
    </row>
    <row r="566" spans="1:9" s="3" customFormat="1" ht="8.4499999999999993" customHeight="1" x14ac:dyDescent="0.25">
      <c r="B566" s="12"/>
      <c r="C566" s="13"/>
      <c r="D566" s="13"/>
      <c r="E566" s="13"/>
      <c r="F566" s="61"/>
      <c r="G566" s="51"/>
      <c r="H566" s="39"/>
      <c r="I566" s="32"/>
    </row>
    <row r="567" spans="1:9" s="3" customFormat="1" ht="84" customHeight="1" x14ac:dyDescent="0.25">
      <c r="A567" s="3">
        <v>1222</v>
      </c>
      <c r="B567" s="8" t="s">
        <v>356</v>
      </c>
      <c r="C567" s="11"/>
      <c r="D567" s="9" t="s">
        <v>357</v>
      </c>
      <c r="E567" s="15" t="s">
        <v>124</v>
      </c>
      <c r="F567" s="60">
        <v>43.2</v>
      </c>
      <c r="G567" s="16">
        <v>682</v>
      </c>
      <c r="H567" s="16">
        <f>F567*G567</f>
        <v>29462.400000000001</v>
      </c>
      <c r="I567" s="32"/>
    </row>
    <row r="568" spans="1:9" s="3" customFormat="1" ht="8.4499999999999993" customHeight="1" x14ac:dyDescent="0.25">
      <c r="B568" s="12"/>
      <c r="C568" s="13"/>
      <c r="D568" s="13"/>
      <c r="E568" s="13"/>
      <c r="F568" s="61"/>
      <c r="G568" s="51"/>
      <c r="H568" s="39"/>
      <c r="I568" s="32"/>
    </row>
    <row r="569" spans="1:9" s="3" customFormat="1" ht="24" customHeight="1" x14ac:dyDescent="0.25">
      <c r="A569" s="3">
        <v>1224</v>
      </c>
      <c r="B569" s="8" t="s">
        <v>358</v>
      </c>
      <c r="C569" s="11"/>
      <c r="D569" s="10" t="s">
        <v>359</v>
      </c>
      <c r="E569" s="15" t="s">
        <v>118</v>
      </c>
      <c r="F569" s="60">
        <v>2</v>
      </c>
      <c r="G569" s="16">
        <v>200</v>
      </c>
      <c r="H569" s="16">
        <f>F569*G569</f>
        <v>400</v>
      </c>
      <c r="I569" s="32"/>
    </row>
    <row r="570" spans="1:9" s="3" customFormat="1" ht="36" customHeight="1" x14ac:dyDescent="0.25">
      <c r="A570" s="3">
        <v>1226</v>
      </c>
      <c r="B570" s="8" t="s">
        <v>360</v>
      </c>
      <c r="C570" s="11"/>
      <c r="D570" s="10" t="s">
        <v>361</v>
      </c>
      <c r="E570" s="15" t="s">
        <v>118</v>
      </c>
      <c r="F570" s="60">
        <v>160</v>
      </c>
      <c r="G570" s="16">
        <v>6</v>
      </c>
      <c r="H570" s="16">
        <f>F570*G570</f>
        <v>960</v>
      </c>
      <c r="I570" s="32"/>
    </row>
    <row r="571" spans="1:9" s="3" customFormat="1" ht="8.4499999999999993" customHeight="1" x14ac:dyDescent="0.25">
      <c r="B571" s="12"/>
      <c r="C571" s="13"/>
      <c r="D571" s="13"/>
      <c r="E571" s="13"/>
      <c r="F571" s="61"/>
      <c r="G571" s="51"/>
      <c r="H571" s="39"/>
      <c r="I571" s="32"/>
    </row>
    <row r="572" spans="1:9" s="3" customFormat="1" ht="12" customHeight="1" x14ac:dyDescent="0.25">
      <c r="A572" s="3">
        <v>1228</v>
      </c>
      <c r="B572" s="14"/>
      <c r="C572" s="11"/>
      <c r="D572" s="10" t="s">
        <v>362</v>
      </c>
      <c r="E572" s="11"/>
      <c r="F572" s="60"/>
      <c r="G572" s="16"/>
      <c r="H572" s="38"/>
      <c r="I572" s="32"/>
    </row>
    <row r="573" spans="1:9" s="3" customFormat="1" ht="8.4499999999999993" customHeight="1" x14ac:dyDescent="0.25">
      <c r="B573" s="12"/>
      <c r="C573" s="13"/>
      <c r="D573" s="13"/>
      <c r="E573" s="13"/>
      <c r="F573" s="61"/>
      <c r="G573" s="51"/>
      <c r="H573" s="39"/>
      <c r="I573" s="32"/>
    </row>
    <row r="574" spans="1:9" s="3" customFormat="1" ht="24" customHeight="1" x14ac:dyDescent="0.25">
      <c r="A574" s="3">
        <v>1230</v>
      </c>
      <c r="B574" s="8" t="s">
        <v>363</v>
      </c>
      <c r="C574" s="11"/>
      <c r="D574" s="10" t="s">
        <v>364</v>
      </c>
      <c r="E574" s="15" t="s">
        <v>24</v>
      </c>
      <c r="F574" s="60">
        <v>1</v>
      </c>
      <c r="G574" s="16">
        <v>8366.69</v>
      </c>
      <c r="H574" s="16">
        <f>F574*G574</f>
        <v>8366.69</v>
      </c>
      <c r="I574" s="32"/>
    </row>
    <row r="575" spans="1:9" s="3" customFormat="1" ht="8.4499999999999993" customHeight="1" x14ac:dyDescent="0.25">
      <c r="B575" s="12"/>
      <c r="C575" s="13"/>
      <c r="D575" s="13"/>
      <c r="E575" s="13"/>
      <c r="F575" s="61"/>
      <c r="G575" s="51"/>
      <c r="H575" s="39"/>
      <c r="I575" s="32"/>
    </row>
    <row r="576" spans="1:9" s="3" customFormat="1" ht="12" customHeight="1" x14ac:dyDescent="0.25">
      <c r="A576" s="3">
        <v>1232</v>
      </c>
      <c r="B576" s="8" t="s">
        <v>365</v>
      </c>
      <c r="C576" s="11"/>
      <c r="D576" s="10" t="s">
        <v>366</v>
      </c>
      <c r="E576" s="15" t="s">
        <v>24</v>
      </c>
      <c r="F576" s="60">
        <v>1</v>
      </c>
      <c r="G576" s="16">
        <v>3662.82</v>
      </c>
      <c r="H576" s="16">
        <f>F576*G576</f>
        <v>3662.82</v>
      </c>
      <c r="I576" s="32"/>
    </row>
    <row r="577" spans="1:9" s="3" customFormat="1" ht="8.4499999999999993" customHeight="1" x14ac:dyDescent="0.25">
      <c r="B577" s="12"/>
      <c r="C577" s="13"/>
      <c r="D577" s="13"/>
      <c r="E577" s="13"/>
      <c r="F577" s="61"/>
      <c r="G577" s="51"/>
      <c r="H577" s="39"/>
      <c r="I577" s="32"/>
    </row>
    <row r="578" spans="1:9" s="3" customFormat="1" ht="12" customHeight="1" x14ac:dyDescent="0.25">
      <c r="A578" s="3">
        <v>1234</v>
      </c>
      <c r="B578" s="8" t="s">
        <v>367</v>
      </c>
      <c r="C578" s="11"/>
      <c r="D578" s="10" t="s">
        <v>368</v>
      </c>
      <c r="E578" s="15" t="s">
        <v>24</v>
      </c>
      <c r="F578" s="60">
        <v>1</v>
      </c>
      <c r="G578" s="16">
        <v>233.07</v>
      </c>
      <c r="H578" s="16">
        <f>F578*G578</f>
        <v>233.07</v>
      </c>
      <c r="I578" s="32"/>
    </row>
    <row r="579" spans="1:9" s="3" customFormat="1" ht="8.4499999999999993" customHeight="1" x14ac:dyDescent="0.25">
      <c r="B579" s="12"/>
      <c r="C579" s="13"/>
      <c r="D579" s="13"/>
      <c r="E579" s="13"/>
      <c r="F579" s="61"/>
      <c r="G579" s="51"/>
      <c r="H579" s="39"/>
      <c r="I579" s="32"/>
    </row>
    <row r="580" spans="1:9" s="3" customFormat="1" ht="12" customHeight="1" x14ac:dyDescent="0.25">
      <c r="A580" s="3">
        <v>1236</v>
      </c>
      <c r="B580" s="8" t="s">
        <v>369</v>
      </c>
      <c r="C580" s="11"/>
      <c r="D580" s="10" t="s">
        <v>370</v>
      </c>
      <c r="E580" s="15" t="s">
        <v>24</v>
      </c>
      <c r="F580" s="60">
        <v>1</v>
      </c>
      <c r="G580" s="16">
        <v>750</v>
      </c>
      <c r="H580" s="16">
        <f>F580*G580</f>
        <v>750</v>
      </c>
      <c r="I580" s="32"/>
    </row>
    <row r="581" spans="1:9" s="3" customFormat="1" ht="8.4499999999999993" customHeight="1" x14ac:dyDescent="0.25">
      <c r="B581" s="12"/>
      <c r="C581" s="13"/>
      <c r="D581" s="13"/>
      <c r="E581" s="13"/>
      <c r="F581" s="61"/>
      <c r="G581" s="51"/>
      <c r="H581" s="39"/>
      <c r="I581" s="32"/>
    </row>
    <row r="582" spans="1:9" s="3" customFormat="1" ht="12" customHeight="1" x14ac:dyDescent="0.25">
      <c r="A582" s="3">
        <v>1225</v>
      </c>
      <c r="B582" s="14"/>
      <c r="C582" s="11"/>
      <c r="D582" s="11"/>
      <c r="E582" s="11"/>
      <c r="F582" s="60"/>
      <c r="G582" s="16"/>
      <c r="H582" s="38"/>
      <c r="I582" s="32"/>
    </row>
    <row r="583" spans="1:9" s="4" customFormat="1" ht="20.100000000000001" customHeight="1" x14ac:dyDescent="0.25">
      <c r="B583" s="17" t="s">
        <v>52</v>
      </c>
      <c r="C583" s="18"/>
      <c r="D583" s="18"/>
      <c r="E583" s="18"/>
      <c r="F583" s="62"/>
      <c r="G583" s="29"/>
      <c r="H583" s="19">
        <f>SUM(H545:H581)</f>
        <v>268214.87</v>
      </c>
      <c r="I583" s="33"/>
    </row>
    <row r="584" spans="1:9" s="1" customFormat="1" ht="26.25" customHeight="1" x14ac:dyDescent="0.25">
      <c r="B584" s="74" t="s">
        <v>456</v>
      </c>
      <c r="C584" s="74"/>
      <c r="D584" s="74"/>
      <c r="E584" s="74"/>
      <c r="F584" s="74"/>
      <c r="G584" s="74"/>
      <c r="H584" s="74"/>
      <c r="I584" s="30"/>
    </row>
    <row r="585" spans="1:9" s="2" customFormat="1" ht="12" x14ac:dyDescent="0.25">
      <c r="D585" s="46"/>
      <c r="F585" s="58"/>
      <c r="G585" s="49"/>
      <c r="H585" s="36" t="s">
        <v>337</v>
      </c>
      <c r="I585" s="31"/>
    </row>
    <row r="586" spans="1:9" s="3" customFormat="1" ht="27.4" customHeight="1" x14ac:dyDescent="0.25">
      <c r="B586" s="7" t="s">
        <v>1</v>
      </c>
      <c r="C586" s="7" t="s">
        <v>2</v>
      </c>
      <c r="D586" s="7" t="s">
        <v>3</v>
      </c>
      <c r="E586" s="7" t="s">
        <v>4</v>
      </c>
      <c r="F586" s="59" t="s">
        <v>5</v>
      </c>
      <c r="G586" s="50" t="s">
        <v>6</v>
      </c>
      <c r="H586" s="37" t="s">
        <v>7</v>
      </c>
      <c r="I586" s="32"/>
    </row>
    <row r="587" spans="1:9" s="4" customFormat="1" ht="20.100000000000001" customHeight="1" x14ac:dyDescent="0.25">
      <c r="B587" s="17" t="s">
        <v>53</v>
      </c>
      <c r="C587" s="18"/>
      <c r="D587" s="18"/>
      <c r="E587" s="18"/>
      <c r="F587" s="62"/>
      <c r="G587" s="29"/>
      <c r="H587" s="19">
        <f>H583</f>
        <v>268214.87</v>
      </c>
      <c r="I587" s="33"/>
    </row>
    <row r="588" spans="1:9" s="3" customFormat="1" ht="8.4499999999999993" customHeight="1" x14ac:dyDescent="0.25">
      <c r="B588" s="12"/>
      <c r="C588" s="13"/>
      <c r="D588" s="13"/>
      <c r="E588" s="13"/>
      <c r="F588" s="61"/>
      <c r="G588" s="51"/>
      <c r="H588" s="39"/>
      <c r="I588" s="32"/>
    </row>
    <row r="589" spans="1:9" s="3" customFormat="1" ht="12" customHeight="1" x14ac:dyDescent="0.25">
      <c r="A589" s="3">
        <v>1238</v>
      </c>
      <c r="B589" s="8" t="s">
        <v>371</v>
      </c>
      <c r="C589" s="11"/>
      <c r="D589" s="10" t="s">
        <v>372</v>
      </c>
      <c r="E589" s="15" t="s">
        <v>24</v>
      </c>
      <c r="F589" s="60">
        <v>1</v>
      </c>
      <c r="G589" s="16">
        <v>369.12</v>
      </c>
      <c r="H589" s="16">
        <f>F589*G589</f>
        <v>369.12</v>
      </c>
      <c r="I589" s="32"/>
    </row>
    <row r="590" spans="1:9" s="3" customFormat="1" ht="8.4499999999999993" customHeight="1" x14ac:dyDescent="0.25">
      <c r="B590" s="12"/>
      <c r="C590" s="13"/>
      <c r="D590" s="13"/>
      <c r="E590" s="13"/>
      <c r="F590" s="61"/>
      <c r="G590" s="51"/>
      <c r="H590" s="39"/>
      <c r="I590" s="32"/>
    </row>
    <row r="591" spans="1:9" s="3" customFormat="1" ht="12" customHeight="1" x14ac:dyDescent="0.25">
      <c r="A591" s="3">
        <v>1240</v>
      </c>
      <c r="B591" s="8" t="s">
        <v>373</v>
      </c>
      <c r="C591" s="11"/>
      <c r="D591" s="10" t="s">
        <v>374</v>
      </c>
      <c r="E591" s="15" t="s">
        <v>24</v>
      </c>
      <c r="F591" s="60">
        <v>1</v>
      </c>
      <c r="G591" s="16">
        <v>1200</v>
      </c>
      <c r="H591" s="16">
        <f>F591*G591</f>
        <v>1200</v>
      </c>
      <c r="I591" s="32"/>
    </row>
    <row r="592" spans="1:9" s="3" customFormat="1" ht="8.4499999999999993" customHeight="1" x14ac:dyDescent="0.25">
      <c r="B592" s="12"/>
      <c r="C592" s="13"/>
      <c r="D592" s="13"/>
      <c r="E592" s="13"/>
      <c r="F592" s="61"/>
      <c r="G592" s="51"/>
      <c r="H592" s="39"/>
      <c r="I592" s="32"/>
    </row>
    <row r="593" spans="1:9" s="3" customFormat="1" ht="8.4499999999999993" customHeight="1" x14ac:dyDescent="0.25">
      <c r="B593" s="12"/>
      <c r="C593" s="13"/>
      <c r="D593" s="13"/>
      <c r="E593" s="13"/>
      <c r="F593" s="61"/>
      <c r="G593" s="51"/>
      <c r="H593" s="39"/>
      <c r="I593" s="32"/>
    </row>
    <row r="594" spans="1:9" s="3" customFormat="1" ht="12" customHeight="1" x14ac:dyDescent="0.25">
      <c r="A594" s="3">
        <v>1244</v>
      </c>
      <c r="B594" s="8" t="s">
        <v>375</v>
      </c>
      <c r="C594" s="11"/>
      <c r="D594" s="10" t="s">
        <v>376</v>
      </c>
      <c r="E594" s="15" t="s">
        <v>118</v>
      </c>
      <c r="F594" s="60">
        <v>15</v>
      </c>
      <c r="G594" s="16">
        <v>68.11</v>
      </c>
      <c r="H594" s="16">
        <f>F594*G594</f>
        <v>1021.65</v>
      </c>
      <c r="I594" s="32"/>
    </row>
    <row r="595" spans="1:9" s="3" customFormat="1" ht="8.4499999999999993" customHeight="1" x14ac:dyDescent="0.25">
      <c r="B595" s="12"/>
      <c r="C595" s="13"/>
      <c r="D595" s="13"/>
      <c r="E595" s="13"/>
      <c r="F595" s="61"/>
      <c r="G595" s="51"/>
      <c r="H595" s="39"/>
      <c r="I595" s="32"/>
    </row>
    <row r="596" spans="1:9" s="3" customFormat="1" ht="12" customHeight="1" x14ac:dyDescent="0.25">
      <c r="A596" s="3">
        <v>1246</v>
      </c>
      <c r="B596" s="8" t="s">
        <v>344</v>
      </c>
      <c r="C596" s="11"/>
      <c r="D596" s="10" t="s">
        <v>377</v>
      </c>
      <c r="E596" s="11"/>
      <c r="F596" s="60"/>
      <c r="G596" s="16"/>
      <c r="H596" s="38"/>
      <c r="I596" s="32"/>
    </row>
    <row r="597" spans="1:9" s="3" customFormat="1" ht="8.4499999999999993" customHeight="1" x14ac:dyDescent="0.25">
      <c r="B597" s="12"/>
      <c r="C597" s="13"/>
      <c r="D597" s="13"/>
      <c r="E597" s="13"/>
      <c r="F597" s="61"/>
      <c r="G597" s="51"/>
      <c r="H597" s="39"/>
      <c r="I597" s="32"/>
    </row>
    <row r="598" spans="1:9" s="3" customFormat="1" ht="12" customHeight="1" x14ac:dyDescent="0.25">
      <c r="A598" s="3">
        <v>1248</v>
      </c>
      <c r="B598" s="14"/>
      <c r="C598" s="11"/>
      <c r="D598" s="10" t="s">
        <v>378</v>
      </c>
      <c r="E598" s="11"/>
      <c r="F598" s="60"/>
      <c r="G598" s="16"/>
      <c r="H598" s="38"/>
      <c r="I598" s="32"/>
    </row>
    <row r="599" spans="1:9" s="3" customFormat="1" ht="8.4499999999999993" customHeight="1" x14ac:dyDescent="0.25">
      <c r="B599" s="12"/>
      <c r="C599" s="13"/>
      <c r="D599" s="13"/>
      <c r="E599" s="13"/>
      <c r="F599" s="61"/>
      <c r="G599" s="51"/>
      <c r="H599" s="39"/>
      <c r="I599" s="32"/>
    </row>
    <row r="600" spans="1:9" s="3" customFormat="1" ht="24" customHeight="1" x14ac:dyDescent="0.25">
      <c r="A600" s="3">
        <v>1249</v>
      </c>
      <c r="B600" s="8" t="s">
        <v>379</v>
      </c>
      <c r="C600" s="11"/>
      <c r="D600" s="10" t="s">
        <v>380</v>
      </c>
      <c r="E600" s="15" t="s">
        <v>24</v>
      </c>
      <c r="F600" s="60">
        <v>1</v>
      </c>
      <c r="G600" s="16">
        <v>6520.8</v>
      </c>
      <c r="H600" s="16">
        <f>F600*G600</f>
        <v>6520.8</v>
      </c>
      <c r="I600" s="32"/>
    </row>
    <row r="601" spans="1:9" s="3" customFormat="1" ht="8.4499999999999993" customHeight="1" x14ac:dyDescent="0.25">
      <c r="B601" s="12"/>
      <c r="C601" s="13"/>
      <c r="D601" s="13"/>
      <c r="E601" s="13"/>
      <c r="F601" s="61"/>
      <c r="G601" s="51"/>
      <c r="H601" s="39"/>
      <c r="I601" s="32"/>
    </row>
    <row r="602" spans="1:9" s="3" customFormat="1" ht="12" customHeight="1" x14ac:dyDescent="0.25">
      <c r="A602" s="3">
        <v>1251</v>
      </c>
      <c r="B602" s="14"/>
      <c r="C602" s="11"/>
      <c r="D602" s="10" t="s">
        <v>381</v>
      </c>
      <c r="E602" s="11"/>
      <c r="F602" s="60"/>
      <c r="G602" s="16"/>
      <c r="H602" s="38"/>
      <c r="I602" s="32"/>
    </row>
    <row r="603" spans="1:9" s="3" customFormat="1" ht="8.4499999999999993" customHeight="1" x14ac:dyDescent="0.25">
      <c r="B603" s="12"/>
      <c r="C603" s="13"/>
      <c r="D603" s="13"/>
      <c r="E603" s="13"/>
      <c r="F603" s="61"/>
      <c r="G603" s="51"/>
      <c r="H603" s="39"/>
      <c r="I603" s="32"/>
    </row>
    <row r="604" spans="1:9" s="3" customFormat="1" ht="36" customHeight="1" x14ac:dyDescent="0.25">
      <c r="A604" s="3">
        <v>1252</v>
      </c>
      <c r="B604" s="8" t="s">
        <v>382</v>
      </c>
      <c r="C604" s="11"/>
      <c r="D604" s="10" t="s">
        <v>383</v>
      </c>
      <c r="E604" s="15" t="s">
        <v>24</v>
      </c>
      <c r="F604" s="60">
        <v>1</v>
      </c>
      <c r="G604" s="16">
        <v>18810</v>
      </c>
      <c r="H604" s="16">
        <f>F604*G604</f>
        <v>18810</v>
      </c>
      <c r="I604" s="32"/>
    </row>
    <row r="605" spans="1:9" s="3" customFormat="1" ht="8.4499999999999993" customHeight="1" x14ac:dyDescent="0.25">
      <c r="B605" s="12"/>
      <c r="C605" s="13"/>
      <c r="D605" s="13"/>
      <c r="E605" s="13"/>
      <c r="F605" s="61"/>
      <c r="G605" s="51"/>
      <c r="H605" s="39"/>
      <c r="I605" s="32"/>
    </row>
    <row r="606" spans="1:9" s="3" customFormat="1" ht="12" customHeight="1" x14ac:dyDescent="0.25">
      <c r="A606" s="3">
        <v>1254</v>
      </c>
      <c r="B606" s="14"/>
      <c r="C606" s="11"/>
      <c r="D606" s="10" t="s">
        <v>384</v>
      </c>
      <c r="E606" s="11"/>
      <c r="F606" s="60"/>
      <c r="G606" s="16"/>
      <c r="H606" s="38"/>
      <c r="I606" s="32"/>
    </row>
    <row r="607" spans="1:9" s="3" customFormat="1" ht="36" customHeight="1" x14ac:dyDescent="0.25">
      <c r="A607" s="3">
        <v>1255</v>
      </c>
      <c r="B607" s="8" t="s">
        <v>385</v>
      </c>
      <c r="C607" s="11"/>
      <c r="D607" s="10" t="s">
        <v>386</v>
      </c>
      <c r="E607" s="15" t="s">
        <v>24</v>
      </c>
      <c r="F607" s="60">
        <v>1</v>
      </c>
      <c r="G607" s="16">
        <v>10830</v>
      </c>
      <c r="H607" s="16">
        <f>F607*G607</f>
        <v>10830</v>
      </c>
      <c r="I607" s="32"/>
    </row>
    <row r="608" spans="1:9" s="3" customFormat="1" ht="8.4499999999999993" customHeight="1" x14ac:dyDescent="0.25">
      <c r="B608" s="12"/>
      <c r="C608" s="13"/>
      <c r="D608" s="13"/>
      <c r="E608" s="13"/>
      <c r="F608" s="61"/>
      <c r="G608" s="51"/>
      <c r="H608" s="39"/>
      <c r="I608" s="32"/>
    </row>
    <row r="609" spans="1:9" s="3" customFormat="1" ht="12" customHeight="1" x14ac:dyDescent="0.25">
      <c r="A609" s="3">
        <v>1257</v>
      </c>
      <c r="B609" s="14"/>
      <c r="C609" s="11"/>
      <c r="D609" s="10" t="s">
        <v>387</v>
      </c>
      <c r="E609" s="11"/>
      <c r="F609" s="60"/>
      <c r="G609" s="16"/>
      <c r="H609" s="38"/>
      <c r="I609" s="32"/>
    </row>
    <row r="610" spans="1:9" s="3" customFormat="1" ht="8.4499999999999993" customHeight="1" x14ac:dyDescent="0.25">
      <c r="B610" s="12"/>
      <c r="C610" s="13"/>
      <c r="D610" s="13"/>
      <c r="E610" s="13"/>
      <c r="F610" s="61"/>
      <c r="G610" s="51"/>
      <c r="H610" s="39"/>
      <c r="I610" s="32"/>
    </row>
    <row r="611" spans="1:9" s="3" customFormat="1" ht="48" customHeight="1" x14ac:dyDescent="0.25">
      <c r="A611" s="3">
        <v>1258</v>
      </c>
      <c r="B611" s="8" t="s">
        <v>388</v>
      </c>
      <c r="C611" s="11"/>
      <c r="D611" s="10" t="s">
        <v>389</v>
      </c>
      <c r="E611" s="15" t="s">
        <v>24</v>
      </c>
      <c r="F611" s="60">
        <v>1</v>
      </c>
      <c r="G611" s="16">
        <v>9165.6</v>
      </c>
      <c r="H611" s="16">
        <f>F611*G611</f>
        <v>9165.6</v>
      </c>
      <c r="I611" s="32"/>
    </row>
    <row r="612" spans="1:9" s="3" customFormat="1" ht="8.4499999999999993" customHeight="1" x14ac:dyDescent="0.25">
      <c r="B612" s="12"/>
      <c r="C612" s="13"/>
      <c r="D612" s="13"/>
      <c r="E612" s="13"/>
      <c r="F612" s="61"/>
      <c r="G612" s="51"/>
      <c r="H612" s="39"/>
      <c r="I612" s="32"/>
    </row>
    <row r="613" spans="1:9" s="3" customFormat="1" ht="24" customHeight="1" x14ac:dyDescent="0.25">
      <c r="A613" s="3">
        <v>1260</v>
      </c>
      <c r="B613" s="14"/>
      <c r="C613" s="11"/>
      <c r="D613" s="10" t="s">
        <v>390</v>
      </c>
      <c r="E613" s="15" t="s">
        <v>24</v>
      </c>
      <c r="F613" s="60">
        <v>1</v>
      </c>
      <c r="G613" s="16">
        <v>7444.2</v>
      </c>
      <c r="H613" s="16">
        <f>F613*G613</f>
        <v>7444.2</v>
      </c>
      <c r="I613" s="32"/>
    </row>
    <row r="614" spans="1:9" s="3" customFormat="1" ht="8.4499999999999993" customHeight="1" x14ac:dyDescent="0.25">
      <c r="B614" s="12"/>
      <c r="C614" s="13"/>
      <c r="D614" s="13"/>
      <c r="E614" s="13"/>
      <c r="F614" s="61"/>
      <c r="G614" s="51"/>
      <c r="H614" s="39"/>
      <c r="I614" s="32"/>
    </row>
    <row r="615" spans="1:9" s="3" customFormat="1" ht="12" customHeight="1" x14ac:dyDescent="0.25">
      <c r="A615" s="3">
        <v>1262</v>
      </c>
      <c r="B615" s="14"/>
      <c r="C615" s="11"/>
      <c r="D615" s="10" t="s">
        <v>391</v>
      </c>
      <c r="E615" s="11"/>
      <c r="F615" s="60"/>
      <c r="G615" s="16"/>
      <c r="H615" s="38"/>
      <c r="I615" s="32"/>
    </row>
    <row r="616" spans="1:9" s="3" customFormat="1" ht="8.4499999999999993" customHeight="1" x14ac:dyDescent="0.25">
      <c r="B616" s="12"/>
      <c r="C616" s="13"/>
      <c r="D616" s="13"/>
      <c r="E616" s="13"/>
      <c r="F616" s="61"/>
      <c r="G616" s="51"/>
      <c r="H616" s="39"/>
      <c r="I616" s="32"/>
    </row>
    <row r="617" spans="1:9" s="3" customFormat="1" ht="48" customHeight="1" x14ac:dyDescent="0.25">
      <c r="A617" s="3">
        <v>1263</v>
      </c>
      <c r="B617" s="8" t="s">
        <v>392</v>
      </c>
      <c r="C617" s="11"/>
      <c r="D617" s="10" t="s">
        <v>393</v>
      </c>
      <c r="E617" s="15" t="s">
        <v>17</v>
      </c>
      <c r="F617" s="60">
        <v>1</v>
      </c>
      <c r="G617" s="16">
        <v>22300</v>
      </c>
      <c r="H617" s="16">
        <f>F617*G617</f>
        <v>22300</v>
      </c>
      <c r="I617" s="32"/>
    </row>
    <row r="618" spans="1:9" s="3" customFormat="1" ht="8.4499999999999993" customHeight="1" x14ac:dyDescent="0.25">
      <c r="B618" s="12"/>
      <c r="C618" s="13"/>
      <c r="D618" s="13"/>
      <c r="E618" s="13"/>
      <c r="F618" s="61"/>
      <c r="G618" s="51"/>
      <c r="H618" s="39"/>
      <c r="I618" s="32"/>
    </row>
    <row r="619" spans="1:9" s="3" customFormat="1" ht="12" customHeight="1" x14ac:dyDescent="0.25">
      <c r="A619" s="3">
        <v>1265</v>
      </c>
      <c r="B619" s="8" t="s">
        <v>346</v>
      </c>
      <c r="C619" s="11"/>
      <c r="D619" s="10" t="s">
        <v>394</v>
      </c>
      <c r="E619" s="11"/>
      <c r="F619" s="60"/>
      <c r="G619" s="16"/>
      <c r="H619" s="38"/>
      <c r="I619" s="32"/>
    </row>
    <row r="620" spans="1:9" s="3" customFormat="1" ht="8.4499999999999993" customHeight="1" x14ac:dyDescent="0.25">
      <c r="B620" s="12"/>
      <c r="C620" s="13"/>
      <c r="D620" s="13"/>
      <c r="E620" s="13"/>
      <c r="F620" s="61"/>
      <c r="G620" s="51"/>
      <c r="H620" s="39"/>
      <c r="I620" s="32"/>
    </row>
    <row r="621" spans="1:9" s="3" customFormat="1" ht="12" customHeight="1" x14ac:dyDescent="0.25">
      <c r="A621" s="3">
        <v>1267</v>
      </c>
      <c r="B621" s="14"/>
      <c r="C621" s="9" t="s">
        <v>395</v>
      </c>
      <c r="D621" s="10" t="s">
        <v>396</v>
      </c>
      <c r="E621" s="11"/>
      <c r="F621" s="60"/>
      <c r="G621" s="16"/>
      <c r="H621" s="38"/>
      <c r="I621" s="32"/>
    </row>
    <row r="622" spans="1:9" s="3" customFormat="1" ht="8.4499999999999993" customHeight="1" x14ac:dyDescent="0.25">
      <c r="B622" s="12"/>
      <c r="C622" s="13"/>
      <c r="D622" s="13"/>
      <c r="E622" s="13"/>
      <c r="F622" s="61"/>
      <c r="G622" s="51"/>
      <c r="H622" s="39"/>
      <c r="I622" s="32"/>
    </row>
    <row r="623" spans="1:9" s="3" customFormat="1" ht="24" customHeight="1" x14ac:dyDescent="0.25">
      <c r="A623" s="3">
        <v>1269</v>
      </c>
      <c r="B623" s="8" t="s">
        <v>397</v>
      </c>
      <c r="C623" s="9" t="s">
        <v>94</v>
      </c>
      <c r="D623" s="10" t="s">
        <v>398</v>
      </c>
      <c r="E623" s="15" t="s">
        <v>118</v>
      </c>
      <c r="F623" s="60">
        <v>80</v>
      </c>
      <c r="G623" s="16">
        <v>46.5</v>
      </c>
      <c r="H623" s="16">
        <f>F623*G623</f>
        <v>3720</v>
      </c>
      <c r="I623" s="32"/>
    </row>
    <row r="624" spans="1:9" s="3" customFormat="1" ht="8.4499999999999993" customHeight="1" x14ac:dyDescent="0.25">
      <c r="B624" s="12"/>
      <c r="C624" s="13"/>
      <c r="D624" s="13"/>
      <c r="E624" s="13"/>
      <c r="F624" s="61"/>
      <c r="G624" s="51"/>
      <c r="H624" s="39"/>
      <c r="I624" s="32"/>
    </row>
    <row r="625" spans="1:9" s="3" customFormat="1" ht="12" customHeight="1" x14ac:dyDescent="0.25">
      <c r="A625" s="3">
        <v>1271</v>
      </c>
      <c r="B625" s="14"/>
      <c r="C625" s="9" t="s">
        <v>399</v>
      </c>
      <c r="D625" s="10" t="s">
        <v>400</v>
      </c>
      <c r="E625" s="11"/>
      <c r="F625" s="60"/>
      <c r="G625" s="16"/>
      <c r="H625" s="38"/>
      <c r="I625" s="32"/>
    </row>
    <row r="626" spans="1:9" s="3" customFormat="1" ht="8.4499999999999993" customHeight="1" x14ac:dyDescent="0.25">
      <c r="B626" s="12"/>
      <c r="C626" s="13"/>
      <c r="D626" s="13"/>
      <c r="E626" s="13"/>
      <c r="F626" s="61"/>
      <c r="G626" s="51"/>
      <c r="H626" s="39"/>
      <c r="I626" s="32"/>
    </row>
    <row r="627" spans="1:9" s="3" customFormat="1" ht="12" customHeight="1" x14ac:dyDescent="0.25">
      <c r="B627" s="14"/>
      <c r="C627" s="9"/>
      <c r="D627" s="10"/>
      <c r="E627" s="11"/>
      <c r="F627" s="60"/>
      <c r="G627" s="16"/>
      <c r="H627" s="38"/>
      <c r="I627" s="32"/>
    </row>
    <row r="628" spans="1:9" s="3" customFormat="1" ht="8.4499999999999993" customHeight="1" x14ac:dyDescent="0.25">
      <c r="B628" s="12"/>
      <c r="C628" s="13"/>
      <c r="D628" s="13"/>
      <c r="E628" s="13"/>
      <c r="F628" s="61"/>
      <c r="G628" s="51"/>
      <c r="H628" s="39"/>
      <c r="I628" s="32"/>
    </row>
    <row r="629" spans="1:9" s="3" customFormat="1" ht="12" customHeight="1" x14ac:dyDescent="0.25">
      <c r="B629" s="14"/>
      <c r="C629" s="9"/>
      <c r="D629" s="10"/>
      <c r="E629" s="11"/>
      <c r="F629" s="60"/>
      <c r="G629" s="16"/>
      <c r="H629" s="38"/>
      <c r="I629" s="32"/>
    </row>
    <row r="630" spans="1:9" s="3" customFormat="1" ht="8.4499999999999993" customHeight="1" x14ac:dyDescent="0.25">
      <c r="B630" s="12"/>
      <c r="C630" s="13"/>
      <c r="D630" s="13"/>
      <c r="E630" s="13"/>
      <c r="F630" s="61"/>
      <c r="G630" s="51"/>
      <c r="H630" s="39"/>
      <c r="I630" s="32"/>
    </row>
    <row r="631" spans="1:9" s="3" customFormat="1" ht="12" customHeight="1" x14ac:dyDescent="0.25">
      <c r="B631" s="14"/>
      <c r="C631" s="9"/>
      <c r="D631" s="10"/>
      <c r="E631" s="11"/>
      <c r="F631" s="60"/>
      <c r="G631" s="16"/>
      <c r="H631" s="38"/>
      <c r="I631" s="32"/>
    </row>
    <row r="632" spans="1:9" s="3" customFormat="1" ht="8.4499999999999993" customHeight="1" x14ac:dyDescent="0.25">
      <c r="B632" s="12"/>
      <c r="C632" s="13"/>
      <c r="D632" s="13"/>
      <c r="E632" s="13"/>
      <c r="F632" s="61"/>
      <c r="G632" s="51"/>
      <c r="H632" s="39"/>
      <c r="I632" s="32"/>
    </row>
    <row r="633" spans="1:9" s="3" customFormat="1" ht="12" customHeight="1" x14ac:dyDescent="0.25">
      <c r="B633" s="14"/>
      <c r="C633" s="9"/>
      <c r="D633" s="10"/>
      <c r="E633" s="11"/>
      <c r="F633" s="60"/>
      <c r="G633" s="16"/>
      <c r="H633" s="38"/>
      <c r="I633" s="32"/>
    </row>
    <row r="634" spans="1:9" s="3" customFormat="1" ht="8.4499999999999993" customHeight="1" x14ac:dyDescent="0.25">
      <c r="B634" s="12"/>
      <c r="C634" s="13"/>
      <c r="D634" s="13"/>
      <c r="E634" s="13"/>
      <c r="F634" s="61"/>
      <c r="G634" s="51"/>
      <c r="H634" s="39"/>
      <c r="I634" s="32"/>
    </row>
    <row r="635" spans="1:9" s="4" customFormat="1" ht="20.100000000000001" customHeight="1" x14ac:dyDescent="0.25">
      <c r="B635" s="17" t="s">
        <v>52</v>
      </c>
      <c r="C635" s="18"/>
      <c r="D635" s="18"/>
      <c r="E635" s="18"/>
      <c r="F635" s="62"/>
      <c r="G635" s="29"/>
      <c r="H635" s="19">
        <f>SUM(H587:H634)</f>
        <v>349596.24</v>
      </c>
      <c r="I635" s="33"/>
    </row>
    <row r="636" spans="1:9" s="1" customFormat="1" ht="26.25" customHeight="1" x14ac:dyDescent="0.25">
      <c r="B636" s="74" t="s">
        <v>456</v>
      </c>
      <c r="C636" s="74"/>
      <c r="D636" s="74"/>
      <c r="E636" s="74"/>
      <c r="F636" s="74"/>
      <c r="G636" s="74"/>
      <c r="H636" s="74"/>
      <c r="I636" s="30"/>
    </row>
    <row r="637" spans="1:9" s="1" customFormat="1" ht="12.75" x14ac:dyDescent="0.25">
      <c r="B637" s="6" t="s">
        <v>440</v>
      </c>
      <c r="D637" s="45"/>
      <c r="F637" s="57"/>
      <c r="G637" s="48"/>
      <c r="H637" s="35"/>
      <c r="I637" s="30"/>
    </row>
    <row r="638" spans="1:9" s="2" customFormat="1" ht="12" x14ac:dyDescent="0.25">
      <c r="D638" s="46"/>
      <c r="F638" s="58"/>
      <c r="G638" s="49"/>
      <c r="H638" s="36" t="s">
        <v>337</v>
      </c>
      <c r="I638" s="31"/>
    </row>
    <row r="639" spans="1:9" s="3" customFormat="1" ht="27.4" customHeight="1" x14ac:dyDescent="0.25">
      <c r="B639" s="7" t="s">
        <v>1</v>
      </c>
      <c r="C639" s="7" t="s">
        <v>2</v>
      </c>
      <c r="D639" s="7" t="s">
        <v>3</v>
      </c>
      <c r="E639" s="7" t="s">
        <v>4</v>
      </c>
      <c r="F639" s="59" t="s">
        <v>5</v>
      </c>
      <c r="G639" s="50" t="s">
        <v>6</v>
      </c>
      <c r="H639" s="37" t="s">
        <v>7</v>
      </c>
      <c r="I639" s="32"/>
    </row>
    <row r="640" spans="1:9" s="4" customFormat="1" ht="20.100000000000001" customHeight="1" x14ac:dyDescent="0.25">
      <c r="B640" s="17" t="s">
        <v>53</v>
      </c>
      <c r="C640" s="18"/>
      <c r="D640" s="18"/>
      <c r="E640" s="18"/>
      <c r="F640" s="62"/>
      <c r="G640" s="29"/>
      <c r="H640" s="19">
        <f>H635</f>
        <v>349596.24</v>
      </c>
      <c r="I640" s="33"/>
    </row>
    <row r="641" spans="1:9" s="3" customFormat="1" ht="36" customHeight="1" x14ac:dyDescent="0.25">
      <c r="A641" s="3">
        <v>1273</v>
      </c>
      <c r="B641" s="14"/>
      <c r="C641" s="9" t="s">
        <v>401</v>
      </c>
      <c r="D641" s="10" t="s">
        <v>444</v>
      </c>
      <c r="E641" s="11"/>
      <c r="F641" s="60"/>
      <c r="G641" s="16"/>
      <c r="H641" s="38"/>
      <c r="I641" s="32"/>
    </row>
    <row r="642" spans="1:9" s="3" customFormat="1" ht="8.4499999999999993" customHeight="1" x14ac:dyDescent="0.25">
      <c r="B642" s="12"/>
      <c r="C642" s="13"/>
      <c r="D642" s="13"/>
      <c r="E642" s="13"/>
      <c r="F642" s="61"/>
      <c r="G642" s="51"/>
      <c r="H642" s="39"/>
      <c r="I642" s="32"/>
    </row>
    <row r="643" spans="1:9" s="3" customFormat="1" ht="12" customHeight="1" x14ac:dyDescent="0.25">
      <c r="A643" s="3">
        <v>1275</v>
      </c>
      <c r="B643" s="8" t="s">
        <v>402</v>
      </c>
      <c r="C643" s="11"/>
      <c r="D643" s="10" t="s">
        <v>403</v>
      </c>
      <c r="E643" s="15" t="s">
        <v>118</v>
      </c>
      <c r="F643" s="60">
        <v>80</v>
      </c>
      <c r="G643" s="16">
        <v>665</v>
      </c>
      <c r="H643" s="16">
        <f>F643*G643</f>
        <v>53200</v>
      </c>
      <c r="I643" s="32"/>
    </row>
    <row r="644" spans="1:9" s="3" customFormat="1" ht="8.4499999999999993" customHeight="1" x14ac:dyDescent="0.25">
      <c r="B644" s="12"/>
      <c r="C644" s="13"/>
      <c r="D644" s="13"/>
      <c r="E644" s="13"/>
      <c r="F644" s="61"/>
      <c r="G644" s="51"/>
      <c r="H644" s="39"/>
      <c r="I644" s="32"/>
    </row>
    <row r="645" spans="1:9" s="3" customFormat="1" ht="12" customHeight="1" x14ac:dyDescent="0.25">
      <c r="A645" s="3">
        <v>1277</v>
      </c>
      <c r="B645" s="14"/>
      <c r="C645" s="9" t="s">
        <v>404</v>
      </c>
      <c r="D645" s="10" t="s">
        <v>405</v>
      </c>
      <c r="E645" s="11"/>
      <c r="F645" s="60"/>
      <c r="G645" s="16"/>
      <c r="H645" s="38"/>
      <c r="I645" s="32"/>
    </row>
    <row r="646" spans="1:9" s="3" customFormat="1" ht="8.4499999999999993" customHeight="1" x14ac:dyDescent="0.25">
      <c r="B646" s="12"/>
      <c r="C646" s="13"/>
      <c r="D646" s="13"/>
      <c r="E646" s="13"/>
      <c r="F646" s="61"/>
      <c r="G646" s="51"/>
      <c r="H646" s="39"/>
      <c r="I646" s="32"/>
    </row>
    <row r="647" spans="1:9" s="3" customFormat="1" ht="36" customHeight="1" x14ac:dyDescent="0.25">
      <c r="A647" s="3">
        <v>1279</v>
      </c>
      <c r="B647" s="8" t="s">
        <v>406</v>
      </c>
      <c r="C647" s="9" t="s">
        <v>99</v>
      </c>
      <c r="D647" s="10" t="s">
        <v>445</v>
      </c>
      <c r="E647" s="15" t="s">
        <v>124</v>
      </c>
      <c r="F647" s="60">
        <v>15.7</v>
      </c>
      <c r="G647" s="16">
        <v>187.12</v>
      </c>
      <c r="H647" s="16">
        <f>F647*G647</f>
        <v>2937.78</v>
      </c>
      <c r="I647" s="32"/>
    </row>
    <row r="648" spans="1:9" s="3" customFormat="1" ht="8.4499999999999993" customHeight="1" x14ac:dyDescent="0.25">
      <c r="B648" s="12"/>
      <c r="C648" s="13"/>
      <c r="D648" s="13"/>
      <c r="E648" s="13"/>
      <c r="F648" s="61"/>
      <c r="G648" s="51"/>
      <c r="H648" s="39"/>
      <c r="I648" s="32"/>
    </row>
    <row r="649" spans="1:9" s="3" customFormat="1" ht="12" customHeight="1" x14ac:dyDescent="0.25">
      <c r="A649" s="3">
        <v>1281</v>
      </c>
      <c r="B649" s="8" t="s">
        <v>407</v>
      </c>
      <c r="C649" s="11"/>
      <c r="D649" s="10" t="s">
        <v>408</v>
      </c>
      <c r="E649" s="15" t="s">
        <v>124</v>
      </c>
      <c r="F649" s="60">
        <v>12.4</v>
      </c>
      <c r="G649" s="16">
        <v>120</v>
      </c>
      <c r="H649" s="16">
        <f>F649*G649</f>
        <v>1488</v>
      </c>
      <c r="I649" s="32"/>
    </row>
    <row r="650" spans="1:9" s="3" customFormat="1" ht="8.4499999999999993" customHeight="1" x14ac:dyDescent="0.25">
      <c r="B650" s="12"/>
      <c r="C650" s="13"/>
      <c r="D650" s="13"/>
      <c r="E650" s="13"/>
      <c r="F650" s="61"/>
      <c r="G650" s="51"/>
      <c r="H650" s="39"/>
      <c r="I650" s="32"/>
    </row>
    <row r="651" spans="1:9" s="3" customFormat="1" ht="12" customHeight="1" x14ac:dyDescent="0.25">
      <c r="A651" s="3">
        <v>1283</v>
      </c>
      <c r="B651" s="8" t="s">
        <v>409</v>
      </c>
      <c r="C651" s="11"/>
      <c r="D651" s="10" t="s">
        <v>410</v>
      </c>
      <c r="E651" s="15" t="s">
        <v>124</v>
      </c>
      <c r="F651" s="60">
        <v>0</v>
      </c>
      <c r="G651" s="16">
        <v>120</v>
      </c>
      <c r="H651" s="16">
        <f>F651*G651</f>
        <v>0</v>
      </c>
      <c r="I651" s="32"/>
    </row>
    <row r="652" spans="1:9" s="3" customFormat="1" ht="8.4499999999999993" customHeight="1" x14ac:dyDescent="0.25">
      <c r="B652" s="12"/>
      <c r="C652" s="13"/>
      <c r="D652" s="13"/>
      <c r="E652" s="13"/>
      <c r="F652" s="61"/>
      <c r="G652" s="51"/>
      <c r="H652" s="39"/>
      <c r="I652" s="32"/>
    </row>
    <row r="653" spans="1:9" s="3" customFormat="1" ht="12" customHeight="1" x14ac:dyDescent="0.25">
      <c r="A653" s="3">
        <v>1285</v>
      </c>
      <c r="B653" s="14"/>
      <c r="C653" s="9" t="s">
        <v>411</v>
      </c>
      <c r="D653" s="10" t="s">
        <v>412</v>
      </c>
      <c r="E653" s="11"/>
      <c r="F653" s="60"/>
      <c r="G653" s="16"/>
      <c r="H653" s="38"/>
      <c r="I653" s="32"/>
    </row>
    <row r="654" spans="1:9" s="3" customFormat="1" ht="8.4499999999999993" customHeight="1" x14ac:dyDescent="0.25">
      <c r="B654" s="12"/>
      <c r="C654" s="13"/>
      <c r="D654" s="13"/>
      <c r="E654" s="13"/>
      <c r="F654" s="61"/>
      <c r="G654" s="51"/>
      <c r="H654" s="39"/>
      <c r="I654" s="32"/>
    </row>
    <row r="655" spans="1:9" s="3" customFormat="1" ht="24" customHeight="1" x14ac:dyDescent="0.25">
      <c r="A655" s="3">
        <v>1287</v>
      </c>
      <c r="B655" s="8" t="s">
        <v>413</v>
      </c>
      <c r="C655" s="9" t="s">
        <v>197</v>
      </c>
      <c r="D655" s="10" t="s">
        <v>447</v>
      </c>
      <c r="E655" s="15" t="s">
        <v>124</v>
      </c>
      <c r="F655" s="60">
        <v>2.4</v>
      </c>
      <c r="G655" s="16">
        <v>2183.5</v>
      </c>
      <c r="H655" s="16">
        <f>F655*G655</f>
        <v>5240.3999999999996</v>
      </c>
      <c r="I655" s="32"/>
    </row>
    <row r="656" spans="1:9" s="3" customFormat="1" ht="8.4499999999999993" customHeight="1" x14ac:dyDescent="0.25">
      <c r="B656" s="12"/>
      <c r="C656" s="13"/>
      <c r="D656" s="13"/>
      <c r="E656" s="13"/>
      <c r="F656" s="61"/>
      <c r="G656" s="51"/>
      <c r="H656" s="39"/>
      <c r="I656" s="32"/>
    </row>
    <row r="657" spans="1:9" s="3" customFormat="1" ht="12" customHeight="1" x14ac:dyDescent="0.25">
      <c r="A657" s="3">
        <v>1289</v>
      </c>
      <c r="B657" s="14"/>
      <c r="C657" s="9" t="s">
        <v>414</v>
      </c>
      <c r="D657" s="10" t="s">
        <v>415</v>
      </c>
      <c r="E657" s="11"/>
      <c r="F657" s="60"/>
      <c r="G657" s="16"/>
      <c r="H657" s="38"/>
      <c r="I657" s="32"/>
    </row>
    <row r="658" spans="1:9" s="3" customFormat="1" ht="8.4499999999999993" customHeight="1" x14ac:dyDescent="0.25">
      <c r="B658" s="12"/>
      <c r="C658" s="13"/>
      <c r="D658" s="13"/>
      <c r="E658" s="13"/>
      <c r="F658" s="61"/>
      <c r="G658" s="51"/>
      <c r="H658" s="39"/>
      <c r="I658" s="32"/>
    </row>
    <row r="659" spans="1:9" s="3" customFormat="1" ht="36" customHeight="1" x14ac:dyDescent="0.25">
      <c r="A659" s="3">
        <v>1291</v>
      </c>
      <c r="B659" s="14"/>
      <c r="C659" s="11"/>
      <c r="D659" s="10" t="s">
        <v>446</v>
      </c>
      <c r="E659" s="11"/>
      <c r="F659" s="60"/>
      <c r="G659" s="16"/>
      <c r="H659" s="38"/>
      <c r="I659" s="32"/>
    </row>
    <row r="660" spans="1:9" s="3" customFormat="1" ht="8.4499999999999993" customHeight="1" x14ac:dyDescent="0.25">
      <c r="B660" s="12"/>
      <c r="C660" s="13"/>
      <c r="D660" s="13"/>
      <c r="E660" s="13"/>
      <c r="F660" s="61"/>
      <c r="G660" s="51"/>
      <c r="H660" s="39"/>
      <c r="I660" s="32"/>
    </row>
    <row r="661" spans="1:9" s="3" customFormat="1" ht="12" customHeight="1" x14ac:dyDescent="0.25">
      <c r="A661" s="3">
        <v>1293</v>
      </c>
      <c r="B661" s="8" t="s">
        <v>416</v>
      </c>
      <c r="C661" s="11"/>
      <c r="D661" s="10" t="s">
        <v>417</v>
      </c>
      <c r="E661" s="15" t="s">
        <v>118</v>
      </c>
      <c r="F661" s="60">
        <v>80</v>
      </c>
      <c r="G661" s="16">
        <v>165</v>
      </c>
      <c r="H661" s="16">
        <f>F661*G661</f>
        <v>13200</v>
      </c>
      <c r="I661" s="32"/>
    </row>
    <row r="662" spans="1:9" s="3" customFormat="1" ht="8.4499999999999993" customHeight="1" x14ac:dyDescent="0.25">
      <c r="B662" s="12"/>
      <c r="C662" s="13"/>
      <c r="D662" s="13"/>
      <c r="E662" s="13"/>
      <c r="F662" s="61"/>
      <c r="G662" s="51"/>
      <c r="H662" s="56"/>
      <c r="I662" s="32"/>
    </row>
    <row r="663" spans="1:9" s="3" customFormat="1" ht="12" customHeight="1" x14ac:dyDescent="0.25">
      <c r="A663" s="3">
        <v>1295</v>
      </c>
      <c r="B663" s="8" t="s">
        <v>418</v>
      </c>
      <c r="C663" s="11"/>
      <c r="D663" s="10" t="s">
        <v>442</v>
      </c>
      <c r="E663" s="15" t="s">
        <v>124</v>
      </c>
      <c r="F663" s="60">
        <v>3.6</v>
      </c>
      <c r="G663" s="16">
        <v>2650</v>
      </c>
      <c r="H663" s="55">
        <f>F663*G663</f>
        <v>9540</v>
      </c>
      <c r="I663" s="32"/>
    </row>
    <row r="664" spans="1:9" s="3" customFormat="1" ht="8.4499999999999993" customHeight="1" x14ac:dyDescent="0.25">
      <c r="B664" s="12"/>
      <c r="C664" s="13"/>
      <c r="D664" s="13"/>
      <c r="E664" s="13"/>
      <c r="F664" s="61"/>
      <c r="G664" s="51"/>
      <c r="H664" s="56"/>
      <c r="I664" s="32"/>
    </row>
    <row r="665" spans="1:9" s="3" customFormat="1" ht="24" x14ac:dyDescent="0.25">
      <c r="A665" s="3">
        <v>1295</v>
      </c>
      <c r="B665" s="8" t="s">
        <v>418</v>
      </c>
      <c r="C665" s="11"/>
      <c r="D665" s="10" t="s">
        <v>453</v>
      </c>
      <c r="E665" s="15" t="s">
        <v>17</v>
      </c>
      <c r="F665" s="60">
        <v>1</v>
      </c>
      <c r="G665" s="16">
        <v>70000</v>
      </c>
      <c r="H665" s="16">
        <f>F665*G665</f>
        <v>70000</v>
      </c>
      <c r="I665" s="32"/>
    </row>
    <row r="666" spans="1:9" s="3" customFormat="1" ht="8.4499999999999993" customHeight="1" x14ac:dyDescent="0.25">
      <c r="B666" s="12"/>
      <c r="C666" s="13"/>
      <c r="D666" s="13"/>
      <c r="E666" s="13"/>
      <c r="F666" s="61"/>
      <c r="G666" s="51"/>
      <c r="H666" s="39"/>
      <c r="I666" s="32"/>
    </row>
    <row r="667" spans="1:9" s="3" customFormat="1" ht="24" customHeight="1" x14ac:dyDescent="0.25">
      <c r="A667" s="3">
        <v>1297</v>
      </c>
      <c r="B667" s="8" t="s">
        <v>419</v>
      </c>
      <c r="C667" s="11"/>
      <c r="D667" s="10" t="s">
        <v>420</v>
      </c>
      <c r="E667" s="15" t="s">
        <v>24</v>
      </c>
      <c r="F667" s="60">
        <v>2</v>
      </c>
      <c r="G667" s="16">
        <v>1489.79</v>
      </c>
      <c r="H667" s="16">
        <f>F667*G667</f>
        <v>2979.58</v>
      </c>
      <c r="I667" s="32"/>
    </row>
    <row r="668" spans="1:9" s="3" customFormat="1" ht="8.4499999999999993" customHeight="1" x14ac:dyDescent="0.25">
      <c r="B668" s="12"/>
      <c r="C668" s="13"/>
      <c r="D668" s="13"/>
      <c r="E668" s="13"/>
      <c r="F668" s="61"/>
      <c r="G668" s="51"/>
      <c r="H668" s="39"/>
      <c r="I668" s="32"/>
    </row>
    <row r="669" spans="1:9" s="3" customFormat="1" ht="24" x14ac:dyDescent="0.25">
      <c r="A669" s="3">
        <v>1299</v>
      </c>
      <c r="B669" s="8" t="s">
        <v>421</v>
      </c>
      <c r="C669" s="11"/>
      <c r="D669" s="10" t="s">
        <v>422</v>
      </c>
      <c r="E669" s="15" t="s">
        <v>24</v>
      </c>
      <c r="F669" s="60">
        <v>1</v>
      </c>
      <c r="G669" s="16">
        <v>15000</v>
      </c>
      <c r="H669" s="16">
        <f>F669*G669</f>
        <v>15000</v>
      </c>
      <c r="I669" s="32"/>
    </row>
    <row r="670" spans="1:9" s="3" customFormat="1" ht="8.4499999999999993" customHeight="1" x14ac:dyDescent="0.25">
      <c r="B670" s="12"/>
      <c r="C670" s="13"/>
      <c r="D670" s="13"/>
      <c r="E670" s="13"/>
      <c r="F670" s="61"/>
      <c r="G670" s="51"/>
      <c r="H670" s="39"/>
      <c r="I670" s="32"/>
    </row>
    <row r="671" spans="1:9" s="3" customFormat="1" ht="12" customHeight="1" x14ac:dyDescent="0.25">
      <c r="B671" s="8"/>
      <c r="C671" s="11"/>
      <c r="D671" s="10"/>
      <c r="E671" s="15"/>
      <c r="F671" s="60"/>
      <c r="G671" s="16"/>
      <c r="H671" s="16"/>
      <c r="I671" s="32"/>
    </row>
    <row r="672" spans="1:9" s="3" customFormat="1" ht="8.4499999999999993" customHeight="1" x14ac:dyDescent="0.25">
      <c r="B672" s="12"/>
      <c r="C672" s="13"/>
      <c r="D672" s="13"/>
      <c r="E672" s="13"/>
      <c r="F672" s="61"/>
      <c r="G672" s="51"/>
      <c r="H672" s="39"/>
      <c r="I672" s="32"/>
    </row>
    <row r="673" spans="2:9" s="3" customFormat="1" ht="12" customHeight="1" x14ac:dyDescent="0.25">
      <c r="B673" s="8"/>
      <c r="C673" s="11"/>
      <c r="D673" s="10"/>
      <c r="E673" s="15"/>
      <c r="F673" s="60"/>
      <c r="G673" s="16"/>
      <c r="H673" s="16"/>
      <c r="I673" s="32"/>
    </row>
    <row r="674" spans="2:9" s="3" customFormat="1" ht="8.4499999999999993" customHeight="1" x14ac:dyDescent="0.25">
      <c r="B674" s="12"/>
      <c r="C674" s="13"/>
      <c r="D674" s="13"/>
      <c r="E674" s="13"/>
      <c r="F674" s="61"/>
      <c r="G674" s="51"/>
      <c r="H674" s="39"/>
      <c r="I674" s="32"/>
    </row>
    <row r="675" spans="2:9" s="3" customFormat="1" ht="12" customHeight="1" x14ac:dyDescent="0.25">
      <c r="B675" s="8"/>
      <c r="C675" s="11"/>
      <c r="D675" s="10"/>
      <c r="E675" s="15"/>
      <c r="F675" s="60"/>
      <c r="G675" s="16"/>
      <c r="H675" s="16"/>
      <c r="I675" s="32"/>
    </row>
    <row r="676" spans="2:9" s="3" customFormat="1" ht="8.4499999999999993" customHeight="1" x14ac:dyDescent="0.25">
      <c r="B676" s="12"/>
      <c r="C676" s="13"/>
      <c r="D676" s="13"/>
      <c r="E676" s="13"/>
      <c r="F676" s="61"/>
      <c r="G676" s="51"/>
      <c r="H676" s="39"/>
      <c r="I676" s="32"/>
    </row>
    <row r="677" spans="2:9" s="3" customFormat="1" ht="12" customHeight="1" x14ac:dyDescent="0.25">
      <c r="B677" s="8"/>
      <c r="C677" s="11"/>
      <c r="D677" s="10"/>
      <c r="E677" s="15"/>
      <c r="F677" s="60"/>
      <c r="G677" s="16"/>
      <c r="H677" s="16"/>
      <c r="I677" s="32"/>
    </row>
    <row r="678" spans="2:9" s="3" customFormat="1" ht="8.4499999999999993" customHeight="1" x14ac:dyDescent="0.25">
      <c r="B678" s="12"/>
      <c r="C678" s="13"/>
      <c r="D678" s="13"/>
      <c r="E678" s="13"/>
      <c r="F678" s="61"/>
      <c r="G678" s="51"/>
      <c r="H678" s="39"/>
      <c r="I678" s="32"/>
    </row>
    <row r="679" spans="2:9" s="3" customFormat="1" ht="12" customHeight="1" x14ac:dyDescent="0.25">
      <c r="B679" s="8"/>
      <c r="C679" s="11"/>
      <c r="D679" s="10"/>
      <c r="E679" s="15"/>
      <c r="F679" s="60"/>
      <c r="G679" s="16"/>
      <c r="H679" s="16"/>
      <c r="I679" s="32"/>
    </row>
    <row r="680" spans="2:9" s="3" customFormat="1" ht="8.4499999999999993" customHeight="1" x14ac:dyDescent="0.25">
      <c r="B680" s="12"/>
      <c r="C680" s="13"/>
      <c r="D680" s="13"/>
      <c r="E680" s="13"/>
      <c r="F680" s="61"/>
      <c r="G680" s="51"/>
      <c r="H680" s="39"/>
      <c r="I680" s="32"/>
    </row>
    <row r="681" spans="2:9" s="3" customFormat="1" ht="12" customHeight="1" x14ac:dyDescent="0.25">
      <c r="B681" s="8"/>
      <c r="C681" s="11"/>
      <c r="D681" s="10"/>
      <c r="E681" s="15"/>
      <c r="F681" s="60"/>
      <c r="G681" s="16"/>
      <c r="H681" s="16"/>
      <c r="I681" s="32"/>
    </row>
    <row r="682" spans="2:9" s="3" customFormat="1" ht="8.4499999999999993" customHeight="1" x14ac:dyDescent="0.25">
      <c r="B682" s="12"/>
      <c r="C682" s="13"/>
      <c r="D682" s="13"/>
      <c r="E682" s="13"/>
      <c r="F682" s="61"/>
      <c r="G682" s="51"/>
      <c r="H682" s="39"/>
      <c r="I682" s="32"/>
    </row>
    <row r="683" spans="2:9" s="3" customFormat="1" ht="12" customHeight="1" x14ac:dyDescent="0.25">
      <c r="B683" s="8"/>
      <c r="C683" s="11"/>
      <c r="D683" s="10"/>
      <c r="E683" s="15"/>
      <c r="F683" s="60"/>
      <c r="G683" s="16"/>
      <c r="H683" s="16"/>
      <c r="I683" s="32"/>
    </row>
    <row r="684" spans="2:9" s="3" customFormat="1" ht="8.4499999999999993" customHeight="1" x14ac:dyDescent="0.25">
      <c r="B684" s="12"/>
      <c r="C684" s="13"/>
      <c r="D684" s="13"/>
      <c r="E684" s="13"/>
      <c r="F684" s="61"/>
      <c r="G684" s="51"/>
      <c r="H684" s="39"/>
      <c r="I684" s="32"/>
    </row>
    <row r="685" spans="2:9" s="3" customFormat="1" ht="12" customHeight="1" x14ac:dyDescent="0.25">
      <c r="B685" s="8"/>
      <c r="C685" s="11"/>
      <c r="D685" s="10"/>
      <c r="E685" s="15"/>
      <c r="F685" s="60"/>
      <c r="G685" s="16"/>
      <c r="H685" s="16"/>
      <c r="I685" s="32"/>
    </row>
    <row r="686" spans="2:9" s="3" customFormat="1" ht="8.4499999999999993" customHeight="1" x14ac:dyDescent="0.25">
      <c r="B686" s="12"/>
      <c r="C686" s="13"/>
      <c r="D686" s="13"/>
      <c r="E686" s="13"/>
      <c r="F686" s="61"/>
      <c r="G686" s="51"/>
      <c r="H686" s="39"/>
      <c r="I686" s="32"/>
    </row>
    <row r="687" spans="2:9" s="3" customFormat="1" ht="12" customHeight="1" x14ac:dyDescent="0.25">
      <c r="B687" s="8"/>
      <c r="C687" s="11"/>
      <c r="D687" s="10"/>
      <c r="E687" s="15"/>
      <c r="F687" s="60"/>
      <c r="G687" s="16"/>
      <c r="H687" s="16"/>
      <c r="I687" s="32"/>
    </row>
    <row r="688" spans="2:9" s="3" customFormat="1" ht="8.4499999999999993" customHeight="1" x14ac:dyDescent="0.25">
      <c r="B688" s="12"/>
      <c r="C688" s="13"/>
      <c r="D688" s="13"/>
      <c r="E688" s="13"/>
      <c r="F688" s="61"/>
      <c r="G688" s="51"/>
      <c r="H688" s="39"/>
      <c r="I688" s="32"/>
    </row>
    <row r="689" spans="2:13" s="3" customFormat="1" ht="12" customHeight="1" x14ac:dyDescent="0.25">
      <c r="B689" s="8"/>
      <c r="C689" s="11"/>
      <c r="D689" s="10"/>
      <c r="E689" s="15"/>
      <c r="F689" s="60"/>
      <c r="G689" s="16"/>
      <c r="H689" s="16"/>
      <c r="I689" s="32"/>
    </row>
    <row r="690" spans="2:13" s="3" customFormat="1" ht="8.4499999999999993" customHeight="1" x14ac:dyDescent="0.25">
      <c r="B690" s="12"/>
      <c r="C690" s="13"/>
      <c r="D690" s="13"/>
      <c r="E690" s="13"/>
      <c r="F690" s="61"/>
      <c r="G690" s="51"/>
      <c r="H690" s="39"/>
      <c r="I690" s="32"/>
    </row>
    <row r="691" spans="2:13" s="3" customFormat="1" ht="12" customHeight="1" x14ac:dyDescent="0.25">
      <c r="B691" s="8"/>
      <c r="C691" s="11"/>
      <c r="D691" s="10"/>
      <c r="E691" s="15"/>
      <c r="F691" s="60"/>
      <c r="G691" s="16"/>
      <c r="H691" s="16"/>
      <c r="I691" s="32"/>
    </row>
    <row r="692" spans="2:13" s="3" customFormat="1" ht="8.4499999999999993" customHeight="1" x14ac:dyDescent="0.25">
      <c r="B692" s="12"/>
      <c r="C692" s="13"/>
      <c r="D692" s="13"/>
      <c r="E692" s="13"/>
      <c r="F692" s="61"/>
      <c r="G692" s="51"/>
      <c r="H692" s="39"/>
      <c r="I692" s="32"/>
    </row>
    <row r="693" spans="2:13" s="3" customFormat="1" ht="12" customHeight="1" x14ac:dyDescent="0.25">
      <c r="B693" s="8"/>
      <c r="C693" s="11"/>
      <c r="D693" s="10"/>
      <c r="E693" s="15"/>
      <c r="F693" s="60"/>
      <c r="G693" s="16"/>
      <c r="H693" s="16"/>
      <c r="I693" s="32"/>
    </row>
    <row r="694" spans="2:13" s="3" customFormat="1" ht="8.4499999999999993" customHeight="1" x14ac:dyDescent="0.25">
      <c r="B694" s="12"/>
      <c r="C694" s="13"/>
      <c r="D694" s="13"/>
      <c r="E694" s="13"/>
      <c r="F694" s="61"/>
      <c r="G694" s="51"/>
      <c r="H694" s="39"/>
      <c r="I694" s="32"/>
    </row>
    <row r="695" spans="2:13" s="3" customFormat="1" ht="12" customHeight="1" x14ac:dyDescent="0.25">
      <c r="B695" s="8"/>
      <c r="C695" s="11"/>
      <c r="D695" s="10"/>
      <c r="E695" s="15"/>
      <c r="F695" s="60"/>
      <c r="G695" s="16"/>
      <c r="H695" s="16"/>
      <c r="I695" s="32"/>
    </row>
    <row r="696" spans="2:13" s="3" customFormat="1" ht="8.4499999999999993" customHeight="1" x14ac:dyDescent="0.25">
      <c r="B696" s="12"/>
      <c r="C696" s="13"/>
      <c r="D696" s="13"/>
      <c r="E696" s="13"/>
      <c r="F696" s="61"/>
      <c r="G696" s="51"/>
      <c r="H696" s="39"/>
      <c r="I696" s="32"/>
    </row>
    <row r="697" spans="2:13" s="4" customFormat="1" ht="20.100000000000001" customHeight="1" x14ac:dyDescent="0.25">
      <c r="B697" s="17" t="s">
        <v>52</v>
      </c>
      <c r="C697" s="18"/>
      <c r="D697" s="18"/>
      <c r="E697" s="18"/>
      <c r="F697" s="62"/>
      <c r="G697" s="29"/>
      <c r="H697" s="19">
        <f>SUM(H640:H696)</f>
        <v>523182</v>
      </c>
      <c r="I697" s="33"/>
    </row>
    <row r="698" spans="2:13" s="1" customFormat="1" ht="12.75" x14ac:dyDescent="0.25">
      <c r="B698" s="6" t="s">
        <v>439</v>
      </c>
      <c r="D698" s="45"/>
      <c r="F698" s="57"/>
      <c r="G698" s="48"/>
      <c r="H698" s="35"/>
      <c r="I698" s="30"/>
    </row>
    <row r="699" spans="2:13" s="1" customFormat="1" ht="12.75" x14ac:dyDescent="0.25">
      <c r="B699" s="6" t="s">
        <v>440</v>
      </c>
      <c r="D699" s="45"/>
      <c r="F699" s="57"/>
      <c r="G699" s="48"/>
      <c r="H699" s="35"/>
      <c r="I699" s="30"/>
    </row>
    <row r="700" spans="2:13" s="2" customFormat="1" ht="12" x14ac:dyDescent="0.25">
      <c r="D700" s="21" t="s">
        <v>423</v>
      </c>
      <c r="F700" s="58"/>
      <c r="G700" s="49"/>
      <c r="H700" s="40"/>
      <c r="I700" s="31"/>
    </row>
    <row r="701" spans="2:13" s="3" customFormat="1" ht="14.25" customHeight="1" x14ac:dyDescent="0.25">
      <c r="B701" s="21" t="s">
        <v>424</v>
      </c>
      <c r="C701" s="21" t="s">
        <v>425</v>
      </c>
      <c r="D701" s="21" t="s">
        <v>3</v>
      </c>
      <c r="F701" s="41"/>
      <c r="G701" s="24"/>
      <c r="H701" s="41" t="s">
        <v>7</v>
      </c>
      <c r="I701" s="32"/>
    </row>
    <row r="702" spans="2:13" s="3" customFormat="1" ht="12" customHeight="1" x14ac:dyDescent="0.25">
      <c r="C702" s="22" t="s">
        <v>8</v>
      </c>
      <c r="D702" s="23" t="s">
        <v>0</v>
      </c>
      <c r="F702" s="41"/>
      <c r="G702" s="24"/>
      <c r="H702" s="24">
        <f>H137</f>
        <v>1140200</v>
      </c>
      <c r="I702" s="32"/>
    </row>
    <row r="703" spans="2:13" s="3" customFormat="1" ht="8.4499999999999993" customHeight="1" x14ac:dyDescent="0.25">
      <c r="C703" s="25"/>
      <c r="D703" s="25"/>
      <c r="E703" s="25"/>
      <c r="F703" s="63"/>
      <c r="G703" s="52"/>
      <c r="H703" s="42"/>
      <c r="I703" s="32"/>
    </row>
    <row r="704" spans="2:13" s="3" customFormat="1" ht="12" customHeight="1" x14ac:dyDescent="0.25">
      <c r="C704" s="22" t="s">
        <v>77</v>
      </c>
      <c r="D704" s="23" t="s">
        <v>89</v>
      </c>
      <c r="F704" s="41"/>
      <c r="G704" s="24"/>
      <c r="H704" s="24">
        <f>H379</f>
        <v>4476433.82</v>
      </c>
      <c r="I704" s="32"/>
      <c r="J704" s="43"/>
      <c r="M704" s="43"/>
    </row>
    <row r="705" spans="3:13" s="3" customFormat="1" ht="8.4499999999999993" customHeight="1" x14ac:dyDescent="0.25">
      <c r="C705" s="25"/>
      <c r="D705" s="25"/>
      <c r="E705" s="25"/>
      <c r="F705" s="63"/>
      <c r="G705" s="52"/>
      <c r="H705" s="42"/>
      <c r="I705" s="32"/>
    </row>
    <row r="706" spans="3:13" s="3" customFormat="1" ht="12" customHeight="1" x14ac:dyDescent="0.25">
      <c r="C706" s="22" t="s">
        <v>87</v>
      </c>
      <c r="D706" s="23" t="s">
        <v>220</v>
      </c>
      <c r="F706" s="41"/>
      <c r="G706" s="24"/>
      <c r="H706" s="24">
        <f>H541</f>
        <v>11403236.029999999</v>
      </c>
      <c r="I706" s="32"/>
      <c r="J706" s="43"/>
      <c r="M706" s="43"/>
    </row>
    <row r="707" spans="3:13" s="3" customFormat="1" ht="8.4499999999999993" customHeight="1" x14ac:dyDescent="0.25">
      <c r="C707" s="25"/>
      <c r="D707" s="25"/>
      <c r="E707" s="25"/>
      <c r="F707" s="63"/>
      <c r="G707" s="52"/>
      <c r="H707" s="42"/>
      <c r="I707" s="32"/>
    </row>
    <row r="708" spans="3:13" s="3" customFormat="1" ht="12" customHeight="1" x14ac:dyDescent="0.25">
      <c r="C708" s="22" t="s">
        <v>88</v>
      </c>
      <c r="D708" s="23" t="s">
        <v>337</v>
      </c>
      <c r="F708" s="41"/>
      <c r="G708" s="24"/>
      <c r="H708" s="24">
        <f>H697</f>
        <v>523182</v>
      </c>
      <c r="I708" s="32"/>
      <c r="J708" s="43"/>
      <c r="M708" s="43"/>
    </row>
    <row r="709" spans="3:13" s="3" customFormat="1" ht="8.4499999999999993" customHeight="1" x14ac:dyDescent="0.25">
      <c r="C709" s="25"/>
      <c r="D709" s="25"/>
      <c r="E709" s="25"/>
      <c r="F709" s="63"/>
      <c r="G709" s="52"/>
      <c r="H709" s="42"/>
      <c r="I709" s="32"/>
    </row>
    <row r="710" spans="3:13" s="3" customFormat="1" ht="12.6" customHeight="1" x14ac:dyDescent="0.25">
      <c r="D710" s="23" t="s">
        <v>426</v>
      </c>
      <c r="F710" s="41"/>
      <c r="G710" s="24"/>
      <c r="H710" s="26">
        <f>SUM(H702:H708)</f>
        <v>17543051.850000001</v>
      </c>
      <c r="I710" s="32"/>
    </row>
    <row r="711" spans="3:13" s="3" customFormat="1" ht="8.4499999999999993" customHeight="1" x14ac:dyDescent="0.25">
      <c r="C711" s="25"/>
      <c r="D711" s="25"/>
      <c r="E711" s="25"/>
      <c r="F711" s="63"/>
      <c r="G711" s="52"/>
      <c r="H711" s="42"/>
      <c r="I711" s="32"/>
    </row>
    <row r="712" spans="3:13" s="3" customFormat="1" ht="12" customHeight="1" x14ac:dyDescent="0.25">
      <c r="C712" s="22" t="s">
        <v>77</v>
      </c>
      <c r="D712" s="23" t="s">
        <v>427</v>
      </c>
      <c r="F712" s="41"/>
      <c r="G712" s="24"/>
      <c r="H712" s="24">
        <f>H710*0.1</f>
        <v>1754305.19</v>
      </c>
      <c r="I712" s="32"/>
    </row>
    <row r="713" spans="3:13" s="3" customFormat="1" ht="12.6" customHeight="1" x14ac:dyDescent="0.25">
      <c r="D713" s="23" t="s">
        <v>426</v>
      </c>
      <c r="F713" s="41"/>
      <c r="G713" s="24"/>
      <c r="H713" s="26">
        <f>SUM(H710:H712)</f>
        <v>19297357.039999999</v>
      </c>
      <c r="I713" s="32"/>
    </row>
    <row r="714" spans="3:13" s="3" customFormat="1" ht="8.4499999999999993" customHeight="1" x14ac:dyDescent="0.25">
      <c r="C714" s="25"/>
      <c r="D714" s="25"/>
      <c r="E714" s="25"/>
      <c r="F714" s="63"/>
      <c r="G714" s="52"/>
      <c r="H714" s="42"/>
      <c r="I714" s="32"/>
    </row>
    <row r="715" spans="3:13" s="3" customFormat="1" ht="12" customHeight="1" x14ac:dyDescent="0.25">
      <c r="D715" s="23" t="s">
        <v>428</v>
      </c>
      <c r="F715" s="41"/>
      <c r="G715" s="24"/>
      <c r="H715" s="24">
        <f>H713*0.15</f>
        <v>2894603.56</v>
      </c>
      <c r="I715" s="32"/>
    </row>
    <row r="716" spans="3:13" s="4" customFormat="1" ht="20.100000000000001" customHeight="1" x14ac:dyDescent="0.25">
      <c r="C716" s="27" t="s">
        <v>429</v>
      </c>
      <c r="D716" s="28" t="s">
        <v>429</v>
      </c>
      <c r="F716" s="64"/>
      <c r="G716" s="53"/>
      <c r="H716" s="29">
        <f>SUM(H713:H715)</f>
        <v>22191960.600000001</v>
      </c>
      <c r="I716" s="33"/>
      <c r="K716" s="67"/>
      <c r="M716" s="67"/>
    </row>
    <row r="717" spans="3:13" s="3" customFormat="1" ht="12" customHeight="1" x14ac:dyDescent="0.25">
      <c r="F717" s="41"/>
      <c r="G717" s="24"/>
      <c r="H717" s="43"/>
      <c r="I717" s="32"/>
    </row>
    <row r="718" spans="3:13" s="3" customFormat="1" ht="8.4499999999999993" customHeight="1" x14ac:dyDescent="0.25">
      <c r="F718" s="41"/>
      <c r="G718" s="24"/>
      <c r="H718" s="43"/>
      <c r="I718" s="32"/>
    </row>
    <row r="719" spans="3:13" s="3" customFormat="1" ht="12" customHeight="1" x14ac:dyDescent="0.25">
      <c r="F719" s="41"/>
      <c r="G719" s="24"/>
      <c r="H719" s="43"/>
      <c r="I719" s="32"/>
    </row>
    <row r="720" spans="3:13" s="3" customFormat="1" ht="8.4499999999999993" customHeight="1" x14ac:dyDescent="0.25">
      <c r="F720" s="41"/>
      <c r="G720" s="24"/>
      <c r="H720" s="43"/>
      <c r="I720" s="32"/>
    </row>
    <row r="721" spans="6:9" s="3" customFormat="1" ht="12" customHeight="1" x14ac:dyDescent="0.25">
      <c r="F721" s="41"/>
      <c r="G721" s="24"/>
      <c r="H721" s="43"/>
      <c r="I721" s="32"/>
    </row>
    <row r="722" spans="6:9" s="3" customFormat="1" ht="8.4499999999999993" customHeight="1" x14ac:dyDescent="0.25">
      <c r="F722" s="41"/>
      <c r="G722" s="24"/>
      <c r="H722" s="43"/>
      <c r="I722" s="32"/>
    </row>
    <row r="723" spans="6:9" s="3" customFormat="1" ht="12" customHeight="1" x14ac:dyDescent="0.25">
      <c r="F723" s="41"/>
      <c r="G723" s="24"/>
      <c r="H723" s="43"/>
      <c r="I723" s="32"/>
    </row>
    <row r="724" spans="6:9" s="3" customFormat="1" ht="8.4499999999999993" customHeight="1" x14ac:dyDescent="0.25">
      <c r="F724" s="41"/>
      <c r="G724" s="24"/>
      <c r="H724" s="43"/>
      <c r="I724" s="32"/>
    </row>
    <row r="725" spans="6:9" s="3" customFormat="1" ht="12" customHeight="1" x14ac:dyDescent="0.25">
      <c r="F725" s="41"/>
      <c r="G725" s="24"/>
      <c r="H725" s="43"/>
      <c r="I725" s="32"/>
    </row>
    <row r="726" spans="6:9" s="3" customFormat="1" ht="8.4499999999999993" customHeight="1" x14ac:dyDescent="0.25">
      <c r="F726" s="41"/>
      <c r="G726" s="24"/>
      <c r="H726" s="43"/>
      <c r="I726" s="32"/>
    </row>
    <row r="727" spans="6:9" s="3" customFormat="1" ht="12" customHeight="1" x14ac:dyDescent="0.25">
      <c r="F727" s="41"/>
      <c r="G727" s="24"/>
      <c r="H727" s="43"/>
      <c r="I727" s="32"/>
    </row>
    <row r="728" spans="6:9" s="3" customFormat="1" ht="8.4499999999999993" customHeight="1" x14ac:dyDescent="0.25">
      <c r="F728" s="41"/>
      <c r="G728" s="24"/>
      <c r="H728" s="43"/>
      <c r="I728" s="32"/>
    </row>
    <row r="729" spans="6:9" s="3" customFormat="1" ht="12" customHeight="1" x14ac:dyDescent="0.25">
      <c r="F729" s="41"/>
      <c r="G729" s="24"/>
      <c r="H729" s="43"/>
      <c r="I729" s="32"/>
    </row>
    <row r="730" spans="6:9" s="3" customFormat="1" ht="8.4499999999999993" customHeight="1" x14ac:dyDescent="0.25">
      <c r="F730" s="41"/>
      <c r="G730" s="24"/>
      <c r="H730" s="43"/>
      <c r="I730" s="32"/>
    </row>
    <row r="731" spans="6:9" s="3" customFormat="1" ht="12" customHeight="1" x14ac:dyDescent="0.25">
      <c r="F731" s="41"/>
      <c r="G731" s="24"/>
      <c r="H731" s="43"/>
      <c r="I731" s="32"/>
    </row>
    <row r="732" spans="6:9" s="3" customFormat="1" ht="8.4499999999999993" customHeight="1" x14ac:dyDescent="0.25">
      <c r="F732" s="41"/>
      <c r="G732" s="24"/>
      <c r="H732" s="43"/>
      <c r="I732" s="32"/>
    </row>
    <row r="733" spans="6:9" s="3" customFormat="1" ht="12" customHeight="1" x14ac:dyDescent="0.25">
      <c r="F733" s="41"/>
      <c r="G733" s="24"/>
      <c r="H733" s="43"/>
      <c r="I733" s="32"/>
    </row>
    <row r="734" spans="6:9" s="3" customFormat="1" ht="8.4499999999999993" customHeight="1" x14ac:dyDescent="0.25">
      <c r="F734" s="41"/>
      <c r="G734" s="24"/>
      <c r="H734" s="43"/>
      <c r="I734" s="32"/>
    </row>
    <row r="735" spans="6:9" s="3" customFormat="1" ht="12" customHeight="1" x14ac:dyDescent="0.25">
      <c r="F735" s="41"/>
      <c r="G735" s="24"/>
      <c r="H735" s="43"/>
      <c r="I735" s="32"/>
    </row>
    <row r="736" spans="6:9" s="3" customFormat="1" ht="8.4499999999999993" customHeight="1" x14ac:dyDescent="0.25">
      <c r="F736" s="41"/>
      <c r="G736" s="24"/>
      <c r="H736" s="43"/>
      <c r="I736" s="32"/>
    </row>
    <row r="737" spans="6:9" s="3" customFormat="1" ht="12" customHeight="1" x14ac:dyDescent="0.25">
      <c r="F737" s="41"/>
      <c r="G737" s="24"/>
      <c r="H737" s="43"/>
      <c r="I737" s="32"/>
    </row>
    <row r="738" spans="6:9" s="3" customFormat="1" ht="8.4499999999999993" customHeight="1" x14ac:dyDescent="0.25">
      <c r="F738" s="41"/>
      <c r="G738" s="24"/>
      <c r="H738" s="43"/>
      <c r="I738" s="32"/>
    </row>
    <row r="739" spans="6:9" s="3" customFormat="1" ht="12" customHeight="1" x14ac:dyDescent="0.25">
      <c r="F739" s="41"/>
      <c r="G739" s="24"/>
      <c r="H739" s="43"/>
      <c r="I739" s="32"/>
    </row>
    <row r="740" spans="6:9" s="3" customFormat="1" ht="8.4499999999999993" customHeight="1" x14ac:dyDescent="0.25">
      <c r="F740" s="41"/>
      <c r="G740" s="24"/>
      <c r="H740" s="43"/>
      <c r="I740" s="32"/>
    </row>
    <row r="741" spans="6:9" s="3" customFormat="1" ht="12" customHeight="1" x14ac:dyDescent="0.25">
      <c r="F741" s="41"/>
      <c r="G741" s="24"/>
      <c r="H741" s="43"/>
      <c r="I741" s="32"/>
    </row>
    <row r="742" spans="6:9" s="3" customFormat="1" ht="8.4499999999999993" customHeight="1" x14ac:dyDescent="0.25">
      <c r="F742" s="41"/>
      <c r="G742" s="24"/>
      <c r="H742" s="43"/>
      <c r="I742" s="32"/>
    </row>
    <row r="743" spans="6:9" s="3" customFormat="1" ht="12" customHeight="1" x14ac:dyDescent="0.25">
      <c r="F743" s="41"/>
      <c r="G743" s="24"/>
      <c r="H743" s="43"/>
      <c r="I743" s="32"/>
    </row>
    <row r="744" spans="6:9" s="3" customFormat="1" ht="8.4499999999999993" customHeight="1" x14ac:dyDescent="0.25">
      <c r="F744" s="41"/>
      <c r="G744" s="24"/>
      <c r="H744" s="43"/>
      <c r="I744" s="32"/>
    </row>
    <row r="745" spans="6:9" s="3" customFormat="1" ht="12" customHeight="1" x14ac:dyDescent="0.25">
      <c r="F745" s="41"/>
      <c r="G745" s="24"/>
      <c r="H745" s="43"/>
      <c r="I745" s="32"/>
    </row>
    <row r="746" spans="6:9" s="3" customFormat="1" ht="8.4499999999999993" customHeight="1" x14ac:dyDescent="0.25">
      <c r="F746" s="41"/>
      <c r="G746" s="24"/>
      <c r="H746" s="43"/>
      <c r="I746" s="32"/>
    </row>
    <row r="747" spans="6:9" s="3" customFormat="1" ht="12" customHeight="1" x14ac:dyDescent="0.25">
      <c r="F747" s="41"/>
      <c r="G747" s="24"/>
      <c r="H747" s="43"/>
      <c r="I747" s="32"/>
    </row>
    <row r="748" spans="6:9" s="3" customFormat="1" ht="8.4499999999999993" customHeight="1" x14ac:dyDescent="0.25">
      <c r="F748" s="41"/>
      <c r="G748" s="24"/>
      <c r="H748" s="43"/>
      <c r="I748" s="32"/>
    </row>
    <row r="749" spans="6:9" s="3" customFormat="1" ht="12" customHeight="1" x14ac:dyDescent="0.25">
      <c r="F749" s="41"/>
      <c r="G749" s="24"/>
      <c r="H749" s="43"/>
      <c r="I749" s="32"/>
    </row>
    <row r="750" spans="6:9" s="3" customFormat="1" ht="8.4499999999999993" customHeight="1" x14ac:dyDescent="0.25">
      <c r="F750" s="41"/>
      <c r="G750" s="24"/>
      <c r="H750" s="43"/>
      <c r="I750" s="32"/>
    </row>
    <row r="751" spans="6:9" s="3" customFormat="1" ht="12" customHeight="1" x14ac:dyDescent="0.25">
      <c r="F751" s="41"/>
      <c r="G751" s="24"/>
      <c r="H751" s="43"/>
      <c r="I751" s="32"/>
    </row>
    <row r="752" spans="6:9" s="3" customFormat="1" ht="8.4499999999999993" customHeight="1" x14ac:dyDescent="0.25">
      <c r="F752" s="41"/>
      <c r="G752" s="24"/>
      <c r="H752" s="43"/>
      <c r="I752" s="32"/>
    </row>
    <row r="753" spans="6:9" s="3" customFormat="1" ht="12" customHeight="1" x14ac:dyDescent="0.25">
      <c r="F753" s="41"/>
      <c r="G753" s="24"/>
      <c r="H753" s="43"/>
      <c r="I753" s="32"/>
    </row>
    <row r="754" spans="6:9" s="3" customFormat="1" ht="8.4499999999999993" customHeight="1" x14ac:dyDescent="0.25">
      <c r="F754" s="41"/>
      <c r="G754" s="24"/>
      <c r="H754" s="43"/>
      <c r="I754" s="32"/>
    </row>
    <row r="755" spans="6:9" s="3" customFormat="1" ht="12" customHeight="1" x14ac:dyDescent="0.25">
      <c r="F755" s="41"/>
      <c r="G755" s="24"/>
      <c r="H755" s="43"/>
      <c r="I755" s="32"/>
    </row>
    <row r="756" spans="6:9" s="3" customFormat="1" ht="8.4499999999999993" customHeight="1" x14ac:dyDescent="0.25">
      <c r="F756" s="41"/>
      <c r="G756" s="24"/>
      <c r="H756" s="43"/>
      <c r="I756" s="32"/>
    </row>
    <row r="757" spans="6:9" s="3" customFormat="1" ht="12" customHeight="1" x14ac:dyDescent="0.25">
      <c r="F757" s="41"/>
      <c r="G757" s="24"/>
      <c r="H757" s="43"/>
      <c r="I757" s="32"/>
    </row>
    <row r="758" spans="6:9" s="3" customFormat="1" ht="8.4499999999999993" customHeight="1" x14ac:dyDescent="0.25">
      <c r="F758" s="41"/>
      <c r="G758" s="24"/>
      <c r="H758" s="43"/>
      <c r="I758" s="32"/>
    </row>
    <row r="759" spans="6:9" s="3" customFormat="1" ht="12" customHeight="1" x14ac:dyDescent="0.25">
      <c r="F759" s="41"/>
      <c r="G759" s="24"/>
      <c r="H759" s="43"/>
      <c r="I759" s="32"/>
    </row>
    <row r="760" spans="6:9" s="3" customFormat="1" ht="8.4499999999999993" customHeight="1" x14ac:dyDescent="0.25">
      <c r="F760" s="41"/>
      <c r="G760" s="24"/>
      <c r="H760" s="43"/>
      <c r="I760" s="32"/>
    </row>
    <row r="761" spans="6:9" s="3" customFormat="1" ht="12" customHeight="1" x14ac:dyDescent="0.25">
      <c r="F761" s="41"/>
      <c r="G761" s="24"/>
      <c r="H761" s="43"/>
      <c r="I761" s="32"/>
    </row>
    <row r="762" spans="6:9" s="3" customFormat="1" ht="8.4499999999999993" customHeight="1" x14ac:dyDescent="0.25">
      <c r="F762" s="41"/>
      <c r="G762" s="24"/>
      <c r="H762" s="43"/>
      <c r="I762" s="32"/>
    </row>
    <row r="763" spans="6:9" s="3" customFormat="1" ht="12" customHeight="1" x14ac:dyDescent="0.25">
      <c r="F763" s="41"/>
      <c r="G763" s="24"/>
      <c r="H763" s="43"/>
      <c r="I763" s="32"/>
    </row>
    <row r="764" spans="6:9" s="3" customFormat="1" ht="11.25" customHeight="1" x14ac:dyDescent="0.25">
      <c r="F764" s="41"/>
      <c r="G764" s="24"/>
      <c r="H764" s="43"/>
      <c r="I764" s="32"/>
    </row>
    <row r="765" spans="6:9" s="3" customFormat="1" ht="12" customHeight="1" x14ac:dyDescent="0.25">
      <c r="F765" s="41"/>
      <c r="G765" s="24"/>
      <c r="H765" s="43"/>
      <c r="I765" s="32"/>
    </row>
    <row r="766" spans="6:9" s="3" customFormat="1" ht="8.4499999999999993" customHeight="1" x14ac:dyDescent="0.25">
      <c r="F766" s="41"/>
      <c r="G766" s="24"/>
      <c r="H766" s="43"/>
      <c r="I766" s="32"/>
    </row>
    <row r="767" spans="6:9" s="3" customFormat="1" ht="12" customHeight="1" x14ac:dyDescent="0.25">
      <c r="F767" s="41"/>
      <c r="G767" s="24"/>
      <c r="H767" s="43"/>
      <c r="I767" s="32"/>
    </row>
    <row r="768" spans="6:9" s="3" customFormat="1" ht="8.4499999999999993" customHeight="1" x14ac:dyDescent="0.25">
      <c r="F768" s="41"/>
      <c r="G768" s="24"/>
      <c r="H768" s="43"/>
      <c r="I768" s="32"/>
    </row>
    <row r="769" spans="4:9" s="3" customFormat="1" ht="12" customHeight="1" x14ac:dyDescent="0.25">
      <c r="F769" s="41"/>
      <c r="G769" s="24"/>
      <c r="H769" s="43"/>
      <c r="I769" s="32"/>
    </row>
    <row r="770" spans="4:9" s="2" customFormat="1" ht="12" customHeight="1" x14ac:dyDescent="0.25">
      <c r="D770" s="21"/>
      <c r="F770" s="58"/>
      <c r="G770" s="49"/>
      <c r="H770" s="40"/>
      <c r="I770" s="31"/>
    </row>
  </sheetData>
  <mergeCells count="12">
    <mergeCell ref="B636:H636"/>
    <mergeCell ref="B1:H1"/>
    <mergeCell ref="B68:H68"/>
    <mergeCell ref="B138:H138"/>
    <mergeCell ref="B194:H194"/>
    <mergeCell ref="B254:H254"/>
    <mergeCell ref="B311:H311"/>
    <mergeCell ref="B380:H380"/>
    <mergeCell ref="B434:H434"/>
    <mergeCell ref="B477:H477"/>
    <mergeCell ref="B542:H542"/>
    <mergeCell ref="B584:H584"/>
  </mergeCells>
  <phoneticPr fontId="5" type="noConversion"/>
  <pageMargins left="0.59055118110236227" right="0.27559055118110237" top="0.39370078740157483" bottom="0.39370078740157483" header="0.31496062992125984" footer="0.31496062992125984"/>
  <pageSetup paperSize="9" orientation="portrait" r:id="rId1"/>
  <headerFooter>
    <oddFooter>&amp;C&amp;P OF &amp;N</oddFooter>
  </headerFooter>
  <rowBreaks count="23" manualBreakCount="23">
    <brk id="67" man="1"/>
    <brk id="137" man="1"/>
    <brk id="193" man="1"/>
    <brk id="193" min="1" max="7" man="1"/>
    <brk id="253" man="1"/>
    <brk id="253" min="1" max="7" man="1"/>
    <brk id="310" man="1"/>
    <brk id="310" min="1" max="7" man="1"/>
    <brk id="379" man="1"/>
    <brk id="379" min="1" max="7" man="1"/>
    <brk id="433" man="1"/>
    <brk id="433" min="1" max="7" man="1"/>
    <brk id="476" man="1"/>
    <brk id="476" min="1" max="7" man="1"/>
    <brk id="541" man="1"/>
    <brk id="541" min="1" max="7" man="1"/>
    <brk id="583" man="1"/>
    <brk id="583" min="1" max="7" man="1"/>
    <brk id="635" man="1"/>
    <brk id="635" min="1" max="7" man="1"/>
    <brk id="697" man="1"/>
    <brk id="697" min="1" max="7" man="1"/>
    <brk id="77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6"/>
  <sheetViews>
    <sheetView showGridLines="0" topLeftCell="B1" workbookViewId="0">
      <selection activeCell="D26" sqref="D26"/>
    </sheetView>
  </sheetViews>
  <sheetFormatPr defaultRowHeight="15" x14ac:dyDescent="0.25"/>
  <cols>
    <col min="1" max="1" width="5.42578125" style="5" hidden="1" customWidth="1"/>
    <col min="2" max="2" width="5.42578125" style="5" customWidth="1"/>
    <col min="3" max="3" width="11.28515625" style="5" customWidth="1"/>
    <col min="4" max="4" width="61" style="5" customWidth="1"/>
    <col min="5" max="7" width="5.42578125" style="5" customWidth="1"/>
    <col min="8" max="8" width="13.42578125" style="5" customWidth="1"/>
    <col min="9" max="16384" width="9.140625" style="5"/>
  </cols>
  <sheetData>
    <row r="1" s="3" customFormat="1" ht="12" customHeight="1" x14ac:dyDescent="0.25"/>
    <row r="2" s="3" customFormat="1" ht="12" customHeight="1" x14ac:dyDescent="0.25"/>
    <row r="3" s="3" customFormat="1" ht="12" customHeight="1" x14ac:dyDescent="0.25"/>
    <row r="4" s="3" customFormat="1" ht="12" customHeight="1" x14ac:dyDescent="0.25"/>
    <row r="5" s="3" customFormat="1" ht="12" customHeight="1" x14ac:dyDescent="0.25"/>
    <row r="6" s="3" customFormat="1" ht="12" customHeight="1" x14ac:dyDescent="0.25"/>
    <row r="7" s="3" customFormat="1" ht="12" customHeight="1" x14ac:dyDescent="0.25"/>
    <row r="8" s="3" customFormat="1" ht="12" customHeight="1" x14ac:dyDescent="0.25"/>
    <row r="9" s="3" customFormat="1" ht="12" customHeight="1" x14ac:dyDescent="0.25"/>
    <row r="10" s="3" customFormat="1" ht="12" customHeight="1" x14ac:dyDescent="0.25"/>
    <row r="11" s="3" customFormat="1" ht="12" customHeight="1" x14ac:dyDescent="0.25"/>
    <row r="12" s="3" customFormat="1" ht="12" customHeight="1" x14ac:dyDescent="0.25"/>
    <row r="13" s="3" customFormat="1" ht="12" customHeight="1" x14ac:dyDescent="0.25"/>
    <row r="14" s="3" customFormat="1" ht="12" customHeight="1" x14ac:dyDescent="0.25"/>
    <row r="15" s="3" customFormat="1" ht="12" customHeight="1" x14ac:dyDescent="0.25"/>
    <row r="16" s="3" customFormat="1" ht="12" customHeight="1" x14ac:dyDescent="0.25"/>
    <row r="17" s="3" customFormat="1" ht="12" customHeight="1" x14ac:dyDescent="0.25"/>
    <row r="18" s="3" customFormat="1" ht="12" customHeight="1" x14ac:dyDescent="0.25"/>
    <row r="19" s="3" customFormat="1" ht="12" customHeight="1" x14ac:dyDescent="0.25"/>
    <row r="20" s="3" customFormat="1" ht="12" customHeight="1" x14ac:dyDescent="0.25"/>
    <row r="21" s="3" customFormat="1" ht="12" customHeight="1" x14ac:dyDescent="0.25"/>
    <row r="22" s="3" customFormat="1" ht="12" customHeight="1" x14ac:dyDescent="0.25"/>
    <row r="23" s="3" customFormat="1" ht="12" customHeight="1" x14ac:dyDescent="0.25"/>
    <row r="24" s="3" customFormat="1" ht="12" customHeight="1" x14ac:dyDescent="0.25"/>
    <row r="25" s="3" customFormat="1" ht="12" customHeight="1" x14ac:dyDescent="0.25"/>
    <row r="26" s="3" customFormat="1" ht="12" customHeight="1" x14ac:dyDescent="0.25"/>
    <row r="27" s="3" customFormat="1" ht="12" customHeight="1" x14ac:dyDescent="0.25"/>
    <row r="28" s="3" customFormat="1" ht="12" customHeight="1" x14ac:dyDescent="0.25"/>
    <row r="29" s="3" customFormat="1" ht="12" customHeight="1" x14ac:dyDescent="0.25"/>
    <row r="30" s="3" customFormat="1" ht="12" customHeight="1" x14ac:dyDescent="0.25"/>
    <row r="31" s="3" customFormat="1" ht="12" customHeight="1" x14ac:dyDescent="0.25"/>
    <row r="32" s="3" customFormat="1" ht="12" customHeight="1" x14ac:dyDescent="0.25"/>
    <row r="33" s="3" customFormat="1" ht="12" customHeight="1" x14ac:dyDescent="0.25"/>
    <row r="34" s="3" customFormat="1" ht="12" customHeight="1" x14ac:dyDescent="0.25"/>
    <row r="35" s="3" customFormat="1" ht="12" customHeight="1" x14ac:dyDescent="0.25"/>
    <row r="36" s="3" customFormat="1" ht="12" customHeight="1" x14ac:dyDescent="0.25"/>
    <row r="37" s="3" customFormat="1" ht="12" customHeight="1" x14ac:dyDescent="0.25"/>
    <row r="38" s="3" customFormat="1" ht="12" customHeight="1" x14ac:dyDescent="0.25"/>
    <row r="39" s="3" customFormat="1" ht="12" customHeight="1" x14ac:dyDescent="0.25"/>
    <row r="40" s="3" customFormat="1" ht="12" customHeight="1" x14ac:dyDescent="0.25"/>
    <row r="41" s="3" customFormat="1" ht="12" customHeight="1" x14ac:dyDescent="0.25"/>
    <row r="42" s="3" customFormat="1" ht="12" customHeight="1" x14ac:dyDescent="0.25"/>
    <row r="43" s="3" customFormat="1" ht="12" customHeight="1" x14ac:dyDescent="0.25"/>
    <row r="44" s="3" customFormat="1" ht="12" customHeight="1" x14ac:dyDescent="0.25"/>
    <row r="45" s="3" customFormat="1" ht="12" customHeight="1" x14ac:dyDescent="0.25"/>
    <row r="46" s="3" customFormat="1" ht="12" customHeight="1" x14ac:dyDescent="0.25"/>
    <row r="47" s="3" customFormat="1" ht="12" customHeight="1" x14ac:dyDescent="0.25"/>
    <row r="48"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pans="4:4" s="3" customFormat="1" ht="12" customHeight="1" x14ac:dyDescent="0.25"/>
    <row r="66" spans="4:4" s="2" customFormat="1" ht="12" customHeight="1" x14ac:dyDescent="0.25">
      <c r="D66" s="20" t="s">
        <v>430</v>
      </c>
    </row>
  </sheetData>
  <pageMargins left="0.59027779999999996" right="0.27569440000000001" top="0.39374999999999999" bottom="0.39374999999999999" header="0.3" footer="0.3"/>
  <pageSetup paperSize="9" orientation="portrait"/>
  <rowBreaks count="1" manualBreakCount="1">
    <brk id="6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Schedule</vt:lpstr>
      <vt:lpstr>Summary Of Schedules</vt:lpstr>
      <vt:lpstr>Schedule!Print_Area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Project</dc:creator>
  <cp:lastModifiedBy>Cepmw028</cp:lastModifiedBy>
  <cp:lastPrinted>2026-04-01T14:40:06Z</cp:lastPrinted>
  <dcterms:created xsi:type="dcterms:W3CDTF">2024-03-08T12:21:21Z</dcterms:created>
  <dcterms:modified xsi:type="dcterms:W3CDTF">2026-07-24T17:10:22Z</dcterms:modified>
</cp:coreProperties>
</file>